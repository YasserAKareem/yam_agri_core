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YAM_AGRI\"/>
    </mc:Choice>
  </mc:AlternateContent>
  <xr:revisionPtr revIDLastSave="0" documentId="13_ncr:1_{DCCAE40C-F03A-481B-9F2F-922ABB7A99B2}" xr6:coauthVersionLast="47" xr6:coauthVersionMax="47" xr10:uidLastSave="{00000000-0000-0000-0000-000000000000}"/>
  <bookViews>
    <workbookView xWindow="-110" yWindow="-110" windowWidth="25820" windowHeight="15500" xr2:uid="{A3BE70F3-71A7-4938-8D22-3252C3DAB120}"/>
  </bookViews>
  <sheets>
    <sheet name="Initial Backlog (8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1" l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<sst xmlns="http://schemas.openxmlformats.org/spreadsheetml/2006/main" count="811" uniqueCount="597">
  <si>
    <t>Idea ID</t>
  </si>
  <si>
    <t>Stage</t>
  </si>
  <si>
    <t>Primary user(s)</t>
  </si>
  <si>
    <t>Sub-domain</t>
  </si>
  <si>
    <t>Description</t>
  </si>
  <si>
    <t>AI Mode</t>
  </si>
  <si>
    <t>Actionability</t>
  </si>
  <si>
    <t>KPIs</t>
  </si>
  <si>
    <t>Risks</t>
  </si>
  <si>
    <t>Integrations / data sources</t>
  </si>
  <si>
    <t>Column1</t>
  </si>
  <si>
    <t>AGR-CEREAL-001</t>
  </si>
  <si>
    <t>A</t>
  </si>
  <si>
    <t>Farm owner; Agronomist</t>
  </si>
  <si>
    <t>Crop/Variety Selection</t>
  </si>
  <si>
    <t>This backlog item targets Crop/Variety Selection in stage A, solving: Picking crop/variety per plot is inconsistent and ignores long-term soil and climate risk. It uses Optimization + Prediction and runs in Propose-only mode, measuring success via Margin/ha; Yield/ha; Rotation compliance and mitigating risks such as Wrong recommendation impacts season; needs explainability with integrations like GIS/field boundaries; soil tests; historical yields; weather/climate.</t>
  </si>
  <si>
    <t>Optimization + Prediction</t>
  </si>
  <si>
    <t>Propose-only</t>
  </si>
  <si>
    <t>Margin/ha; Yield/ha; Rotation compliance</t>
  </si>
  <si>
    <t>Wrong recommendation impacts season; needs explainability</t>
  </si>
  <si>
    <t>GIS/field boundaries; soil tests; historical yields; weather/climate</t>
  </si>
  <si>
    <t>AGR-CEREAL-002</t>
  </si>
  <si>
    <t>Agronomist</t>
  </si>
  <si>
    <t>Fertility Plan Optimization</t>
  </si>
  <si>
    <t>This backlog item targets Fertility Plan Optimization in stage A, solving: Fertility plans are generic and don’t reflect plot-level variability and nutrient carryover. It uses Optimization and runs in Propose-only mode, measuring success via Nutrient efficiency; Cost/ha; Yield stability and mitigating risks such as Over-application/environmental compliance risk with integrations like Soil lab data; past application logs; equipment maps.</t>
  </si>
  <si>
    <t>Optimization</t>
  </si>
  <si>
    <t>Nutrient efficiency; Cost/ha; Yield stability</t>
  </si>
  <si>
    <t>Over-application/environmental compliance risk</t>
  </si>
  <si>
    <t>Soil lab data; past application logs; equipment maps</t>
  </si>
  <si>
    <t>AGR-CEREAL-003</t>
  </si>
  <si>
    <t>Farm manager</t>
  </si>
  <si>
    <t>Planting Window Prediction</t>
  </si>
  <si>
    <t>This backlog item targets Planting Window Prediction in stage A, solving: Planting window decisions are gut-feel, causing rework and missed yield potential. It uses Prediction and runs in Propose-only mode, measuring success via On-time planting %; Yield delta; Replant rate and mitigating risks such as Forecast uncertainty must be communicated with integrations like Weather forecast; soil moisture; station data.</t>
  </si>
  <si>
    <t>Prediction</t>
  </si>
  <si>
    <t>On-time planting %; Yield delta; Replant rate</t>
  </si>
  <si>
    <t>Forecast uncertainty must be communicated</t>
  </si>
  <si>
    <t>Weather forecast; soil moisture; station data</t>
  </si>
  <si>
    <t>AGR-CEREAL-004</t>
  </si>
  <si>
    <t>Sustainability/ESG lead</t>
  </si>
  <si>
    <t>Planning Impact Simulation</t>
  </si>
  <si>
    <t>This backlog item targets Planning Impact Simulation in stage A, solving: Hard to quantify emissions, fertilizer impact, and soil health tradeoffs during planning. It uses Simulation and runs in Read-only mode, measuring success via CO2e/ton; Soil health proxy; Audit readiness and mitigating risks such as Model assumptions; needs audit trail with integrations like Inputs plan; fuel use; soil proxies; emission factors.</t>
  </si>
  <si>
    <t>Simulation</t>
  </si>
  <si>
    <t>Read-only</t>
  </si>
  <si>
    <t>CO2e/ton; Soil health proxy; Audit readiness</t>
  </si>
  <si>
    <t>Model assumptions; needs audit trail</t>
  </si>
  <si>
    <t>Inputs plan; fuel use; soil proxies; emission factors</t>
  </si>
  <si>
    <t>AGR-CEREAL-005</t>
  </si>
  <si>
    <t>Co-op planner</t>
  </si>
  <si>
    <t>Acreage Aggregation Forecast</t>
  </si>
  <si>
    <t>This backlog item targets Acreage Aggregation Forecast in stage A, solving: Aggregated acreage plans are late/inaccurate, breaking procurement and logistics. It uses Forecasting and runs in Read-only mode, measuring success via Acreage forecast error; Downstream stockouts and mitigating risks such as Incentives to misreport acreage with integrations like Member plans; satellite crop maps; historical change.</t>
  </si>
  <si>
    <t>Forecasting</t>
  </si>
  <si>
    <t>Acreage forecast error; Downstream stockouts</t>
  </si>
  <si>
    <t>Incentives to misreport acreage</t>
  </si>
  <si>
    <t>Member plans; satellite crop maps; historical change</t>
  </si>
  <si>
    <t>AGR-CEREAL-006</t>
  </si>
  <si>
    <t>Farm finance</t>
  </si>
  <si>
    <t>Budget Scenario Engine</t>
  </si>
  <si>
    <t>This backlog item targets Budget Scenario Engine in stage A, solving: Budgeting ignores input price volatility and alternative scenarios. It uses Simulation and runs in Read-only mode, measuring success via Budget variance; ROI accuracy and mitigating risks such as Market volatility; model risk with integrations like Price feeds; purchase history; acreage plans.</t>
  </si>
  <si>
    <t>Budget variance; ROI accuracy</t>
  </si>
  <si>
    <t>Market volatility; model risk</t>
  </si>
  <si>
    <t>Price feeds; purchase history; acreage plans</t>
  </si>
  <si>
    <t>AGR-CEREAL-007</t>
  </si>
  <si>
    <t>Water manager</t>
  </si>
  <si>
    <t>Irrigation Feasibility &amp; Plan</t>
  </si>
  <si>
    <t>This backlog item targets Irrigation Feasibility &amp; Plan in stage A, solving: Irrigation feasibility is assessed too late, causing crop stress and cost overruns. It uses Optimization + Prediction and runs in Propose-only mode, measuring success via Water use efficiency; Stress days reduced and mitigating risks such as Water rights constraints with integrations like Irrigation system data; water rights; weather.</t>
  </si>
  <si>
    <t>Water use efficiency; Stress days reduced</t>
  </si>
  <si>
    <t>Water rights constraints</t>
  </si>
  <si>
    <t>Irrigation system data; water rights; weather</t>
  </si>
  <si>
    <t>AGR-CEREAL-008</t>
  </si>
  <si>
    <t>Disease-Resistant Variety Reco</t>
  </si>
  <si>
    <t>This backlog item targets Disease-Resistant Variety Reco in stage A, solving: Disease pressure history isn’t systematically used in variety selection. It uses Prediction and runs in Propose-only mode, measuring success via Disease incidence; Fungicide cost reduction and mitigating risks such as False confidence; must show evidence with integrations like Disease reports; variety traits; weather.</t>
  </si>
  <si>
    <t>Disease incidence; Fungicide cost reduction</t>
  </si>
  <si>
    <t>False confidence; must show evidence</t>
  </si>
  <si>
    <t>Disease reports; variety traits; weather</t>
  </si>
  <si>
    <t>AGR-CEREAL-009</t>
  </si>
  <si>
    <t>Farm ops</t>
  </si>
  <si>
    <t>Field Accessibility Risk</t>
  </si>
  <si>
    <t>This backlog item targets Field Accessibility Risk in stage A, solving: Field accessibility isn’t planned, delaying ops and damaging soil. It uses Prediction and runs in Propose-only mode, measuring success via Delay days; Compaction events and mitigating risks such as Sensor gaps; uncertainty UX needed with integrations like Soil moisture; rainfall; field history.</t>
  </si>
  <si>
    <t>Delay days; Compaction events</t>
  </si>
  <si>
    <t>Sensor gaps; uncertainty UX needed</t>
  </si>
  <si>
    <t>Soil moisture; rainfall; field history</t>
  </si>
  <si>
    <t>AGR-CEREAL-010</t>
  </si>
  <si>
    <t>Reg/Compliance</t>
  </si>
  <si>
    <t>Geo-Regulatory Input Flags</t>
  </si>
  <si>
    <t>This backlog item targets Geo-Regulatory Input Flags in stage A, solving: Planning doesn’t flag restricted inputs or buffer-zone rules by geography. It uses RAG-docs + Rules and runs in Read-only mode, measuring success via Violations prevented; Audit pass rate and mitigating risks such as Regulatory updates; legal accountability with integrations like Reg docs; GIS layers; input catalog.</t>
  </si>
  <si>
    <t>RAG-docs + Rules</t>
  </si>
  <si>
    <t>Violations prevented; Audit pass rate</t>
  </si>
  <si>
    <t>Regulatory updates; legal accountability</t>
  </si>
  <si>
    <t>Reg docs; GIS layers; input catalog</t>
  </si>
  <si>
    <t>AGR-CEREAL-011</t>
  </si>
  <si>
    <t>B</t>
  </si>
  <si>
    <t>Procurement lead</t>
  </si>
  <si>
    <t>Input Demand Forecast</t>
  </si>
  <si>
    <t>This backlog item targets Input Demand Forecast in stage B, solving: Input demand estimates drift from planting, causing overbuy/shortages. It uses Forecasting and runs in Propose-only mode, measuring success via Stockout %; Excess inventory $; Service level and mitigating risks such as Data latency; human override required with integrations like Crop plan; inventory; supplier lead times.</t>
  </si>
  <si>
    <t>Stockout %; Excess inventory $; Service level</t>
  </si>
  <si>
    <t>Data latency; human override required</t>
  </si>
  <si>
    <t>Crop plan; inventory; supplier lead times</t>
  </si>
  <si>
    <t>AGR-CEREAL-012</t>
  </si>
  <si>
    <t>Procurement</t>
  </si>
  <si>
    <t>Supplier Risk Scoring</t>
  </si>
  <si>
    <t>This backlog item targets Supplier Risk Scoring in stage B, solving: Supplier selection ignores quality variance and counterfeit risk in seed/chemicals. It uses Risk scoring and runs in Propose-only mode, measuring success via Defect rate; Delivery reliability; Loss prevention and mitigating risks such as Supplier disputes; transparency required with integrations like Supplier history; inspections; claims.</t>
  </si>
  <si>
    <t>Risk scoring</t>
  </si>
  <si>
    <t>Defect rate; Delivery reliability; Loss prevention</t>
  </si>
  <si>
    <t>Supplier disputes; transparency required</t>
  </si>
  <si>
    <t>Supplier history; inspections; claims</t>
  </si>
  <si>
    <t>AGR-CEREAL-013</t>
  </si>
  <si>
    <t>Finance</t>
  </si>
  <si>
    <t>Forward Buying Scenarios</t>
  </si>
  <si>
    <t>This backlog item targets Forward Buying Scenarios in stage B, solving: Forward buying decisions aren’t tied to scenario outcomes (weather/yield/price). It uses Simulation and runs in Read-only mode, measuring success via Cost savings; Hedge effectiveness and mitigating risks such as Volatility; model risk with integrations like Price feeds; contracts; forecasts.</t>
  </si>
  <si>
    <t>Cost savings; Hedge effectiveness</t>
  </si>
  <si>
    <t>Volatility; model risk</t>
  </si>
  <si>
    <t>Price feeds; contracts; forecasts</t>
  </si>
  <si>
    <t>AGR-CEREAL-014</t>
  </si>
  <si>
    <t>Warehouse manager</t>
  </si>
  <si>
    <t>Receiving Match Automation</t>
  </si>
  <si>
    <t>This backlog item targets Receiving Match Automation in stage B, solving: Receiving is manual; mismatches and expired lots slip through. It uses Document AI + Anomaly and runs in Execute-with-approval mode, measuring success via Receiving cycle time; Mismatch rate; Expiry incidents and mitigating risks such as Incorrect auto-matches with integrations like PO/ERP; barcode/RFID; invoices.</t>
  </si>
  <si>
    <t>Document AI + Anomaly</t>
  </si>
  <si>
    <t>Execute-with-approval</t>
  </si>
  <si>
    <t>Receiving cycle time; Mismatch rate; Expiry incidents</t>
  </si>
  <si>
    <t>Incorrect auto-matches</t>
  </si>
  <si>
    <t>PO/ERP; barcode/RFID; invoices</t>
  </si>
  <si>
    <t>AGR-CEREAL-015</t>
  </si>
  <si>
    <t>Compliance</t>
  </si>
  <si>
    <t>SDS &amp; Restricted Use Validation</t>
  </si>
  <si>
    <t>This backlog item targets SDS &amp; Restricted Use Validation in stage B, solving: Safety data sheets and restricted-use rules aren’t validated at purchase time. It uses RAG-docs and runs in Read-only mode, measuring success via Violations prevented; Audit readiness and mitigating risks such as Outdated documents with integrations like SDS repository; product catalog.</t>
  </si>
  <si>
    <t>RAG-docs</t>
  </si>
  <si>
    <t>Violations prevented; Audit readiness</t>
  </si>
  <si>
    <t>Outdated documents</t>
  </si>
  <si>
    <t>SDS repository; product catalog</t>
  </si>
  <si>
    <t>AGR-CEREAL-016</t>
  </si>
  <si>
    <t>Ops lead</t>
  </si>
  <si>
    <t>Deliveries vs Field Schedule</t>
  </si>
  <si>
    <t>This backlog item targets Deliveries vs Field Schedule in stage B, solving: Delivery schedules aren’t coordinated with field operations timing. It uses Optimization and runs in Propose-only mode, measuring success via Idle time; Missed windows and mitigating risks such as Supplier constraints with integrations like Ops plan; supplier ETAs; fleet availability.</t>
  </si>
  <si>
    <t>Idle time; Missed windows</t>
  </si>
  <si>
    <t>Supplier constraints</t>
  </si>
  <si>
    <t>Ops plan; supplier ETAs; fleet availability</t>
  </si>
  <si>
    <t>AGR-CEREAL-017</t>
  </si>
  <si>
    <t>RFQ Comparison Copilot</t>
  </si>
  <si>
    <t>This backlog item targets RFQ Comparison Copilot in stage B, solving: RFQ comparison is slow and inconsistent (terms, quality clauses, penalties). It uses Copilot and runs in Propose-only mode, measuring success via Cycle time; Contract quality; Savings and mitigating risks such as Legal review needed with integrations like Email; contract templates; vendor portal.</t>
  </si>
  <si>
    <t>Copilot</t>
  </si>
  <si>
    <t>Cycle time; Contract quality; Savings</t>
  </si>
  <si>
    <t>Legal review needed</t>
  </si>
  <si>
    <t>Email; contract templates; vendor portal</t>
  </si>
  <si>
    <t>AGR-CEREAL-018</t>
  </si>
  <si>
    <t>Co-op ops</t>
  </si>
  <si>
    <t>Fair Input Allocation</t>
  </si>
  <si>
    <t>This backlog item targets Fair Input Allocation in stage B, solving: Allocation of limited inputs lacks fairness and yield impact awareness. It uses Optimization and runs in Propose-only mode, measuring success via Allocation satisfaction; Yield loss avoided and mitigating risks such as Governance; explainability mandatory with integrations like Member acreage; inventory; policy rules.</t>
  </si>
  <si>
    <t>Allocation satisfaction; Yield loss avoided</t>
  </si>
  <si>
    <t>Governance; explainability mandatory</t>
  </si>
  <si>
    <t>Member acreage; inventory; policy rules</t>
  </si>
  <si>
    <t>AGR-CEREAL-019</t>
  </si>
  <si>
    <t>C</t>
  </si>
  <si>
    <t>Equipment operator</t>
  </si>
  <si>
    <t>Planter Calibration Anomaly</t>
  </si>
  <si>
    <t>This backlog item targets Planter Calibration Anomaly in stage C, solving: Planter calibration errors cause uneven emergence and yield loss. It uses Anomaly detection and runs in Execute-with-approval mode, measuring success via Emergence uniformity; Replant %; Yield delta and mitigating risks such as Sensor quality with integrations like Equipment telemetry; task logs.</t>
  </si>
  <si>
    <t>Anomaly detection</t>
  </si>
  <si>
    <t>Emergence uniformity; Replant %; Yield delta</t>
  </si>
  <si>
    <t>Sensor quality</t>
  </si>
  <si>
    <t>Equipment telemetry; task logs</t>
  </si>
  <si>
    <t>AGR-CEREAL-020</t>
  </si>
  <si>
    <t>Work Orders &amp; Notes Copilot</t>
  </si>
  <si>
    <t>This backlog item targets Work Orders &amp; Notes Copilot in stage C, solving: Work orders are incomplete and field notes are lost, breaking traceability. It uses Copilot and runs in Propose-only mode, measuring success via Documentation completeness; Audit pass rate and mitigating risks such as Adoption risk with integrations like Mobile app; ERP/work orders.</t>
  </si>
  <si>
    <t>Documentation completeness; Audit pass rate</t>
  </si>
  <si>
    <t>Adoption risk</t>
  </si>
  <si>
    <t>Mobile app; ERP/work orders</t>
  </si>
  <si>
    <t>AGR-CEREAL-021</t>
  </si>
  <si>
    <t>Scheduler</t>
  </si>
  <si>
    <t>Crew &amp; Machine Scheduling</t>
  </si>
  <si>
    <t>This backlog item targets Crew &amp; Machine Scheduling in stage C, solving: Scheduling is reactive, causing idle time and overtime. It uses Optimization and runs in Propose-only mode, measuring success via Utilization; Overtime; On-time ops % and mitigating risks such as Labor constraints with integrations like HR schedules; equipment availability.</t>
  </si>
  <si>
    <t>Utilization; Overtime; On-time ops %</t>
  </si>
  <si>
    <t>Labor constraints</t>
  </si>
  <si>
    <t>HR schedules; equipment availability</t>
  </si>
  <si>
    <t>AGR-CEREAL-022</t>
  </si>
  <si>
    <t>Compaction Risk Advisor</t>
  </si>
  <si>
    <t>This backlog item targets Compaction Risk Advisor in stage C, solving: Field access ignores compaction and rut damage risk. It uses Prediction and runs in Propose-only mode, measuring success via Soil damage events; Delay days and mitigating risks such as Uncertainty must be visible with integrations like Soil moisture; rainfall; maps.</t>
  </si>
  <si>
    <t>Soil damage events; Delay days</t>
  </si>
  <si>
    <t>Uncertainty must be visible</t>
  </si>
  <si>
    <t>Soil moisture; rainfall; maps</t>
  </si>
  <si>
    <t>AGR-CEREAL-023</t>
  </si>
  <si>
    <t>Ops</t>
  </si>
  <si>
    <t>Fuel/Parts Stock Forecast</t>
  </si>
  <si>
    <t>This backlog item targets Fuel/Parts Stock Forecast in stage C, solving: Fuel and parts availability cause mid-operation stoppages. It uses Forecasting and runs in Propose-only mode, measuring success via Downtime; Emergency purchases and mitigating risks such as Inventory accuracy with integrations like Inventory; telemetry; maintenance logs.</t>
  </si>
  <si>
    <t>Downtime; Emergency purchases</t>
  </si>
  <si>
    <t>Inventory accuracy</t>
  </si>
  <si>
    <t>Inventory; telemetry; maintenance logs</t>
  </si>
  <si>
    <t>AGR-CEREAL-024</t>
  </si>
  <si>
    <t>Quality/traceability</t>
  </si>
  <si>
    <t>Seed Lot Capture</t>
  </si>
  <si>
    <t>This backlog item targets Seed Lot Capture in stage C, solving: Lot identity at planting isn’t captured consistently, breaking provenance. It uses Workflow automation and runs in Execute-with-approval mode, measuring success via Traceability completeness; Recall time reduction and mitigating risks such as Data entry errors with integrations like Seed lot scans; field task records.</t>
  </si>
  <si>
    <t>Workflow automation</t>
  </si>
  <si>
    <t>Traceability completeness; Recall time reduction</t>
  </si>
  <si>
    <t>Data entry errors</t>
  </si>
  <si>
    <t>Seed lot scans; field task records</t>
  </si>
  <si>
    <t>AGR-CEREAL-025</t>
  </si>
  <si>
    <t>Stand Count via Vision</t>
  </si>
  <si>
    <t>This backlog item targets Stand Count via Vision in stage C, solving: Stand count checks are manual and late. It uses Vision and runs in Read-only mode, measuring success via Detection speed; Replant decision accuracy and mitigating risks such as Bias across stages with integrations like Drone/phone images; field IDs.</t>
  </si>
  <si>
    <t>Vision</t>
  </si>
  <si>
    <t>Detection speed; Replant decision accuracy</t>
  </si>
  <si>
    <t>Bias across stages</t>
  </si>
  <si>
    <t>Drone/phone images; field IDs</t>
  </si>
  <si>
    <t>AGR-CEREAL-026</t>
  </si>
  <si>
    <t>Deviation Impact Analytics</t>
  </si>
  <si>
    <t>This backlog item targets Deviation Impact Analytics in stage C, solving: Deviations from plan aren’t quantified into cost/yield impact. It uses Analytics copilot and runs in Read-only mode, measuring success via Variance visibility; Corrective actions taken and mitigating risks such as Attribution errors with integrations like Plan vs actual ops logs.</t>
  </si>
  <si>
    <t>Analytics copilot</t>
  </si>
  <si>
    <t>Variance visibility; Corrective actions taken</t>
  </si>
  <si>
    <t>Attribution errors</t>
  </si>
  <si>
    <t>Plan vs actual ops logs</t>
  </si>
  <si>
    <t>AGR-CEREAL-027</t>
  </si>
  <si>
    <t>Safety officer</t>
  </si>
  <si>
    <t>Safety Incident Risk</t>
  </si>
  <si>
    <t>This backlog item targets Safety Incident Risk in stage C, solving: Incidents aren’t predicted using near-miss signals. It uses Risk prediction and runs in Propose-only mode, measuring success via Incident rate; Near-miss closure time and mitigating risks such as Privacy; governance required with integrations like Incident logs; telemetry; weather.</t>
  </si>
  <si>
    <t>Risk prediction</t>
  </si>
  <si>
    <t>Incident rate; Near-miss closure time</t>
  </si>
  <si>
    <t>Privacy; governance required</t>
  </si>
  <si>
    <t>Incident logs; telemetry; weather</t>
  </si>
  <si>
    <t>AGR-CEREAL-028</t>
  </si>
  <si>
    <t>D</t>
  </si>
  <si>
    <t>Stress-to-Prescription</t>
  </si>
  <si>
    <t>This backlog item targets Stress-to-Prescription in stage D, solving: Remote sensing stress isn’t translated into actionable prescriptions. It uses Vision + Decision support and runs in Propose-only mode, measuring success via Response time; Yield loss avoided and mitigating risks such as False positives with integrations like Satellite; boundaries; scouting notes.</t>
  </si>
  <si>
    <t>Vision + Decision support</t>
  </si>
  <si>
    <t>Response time; Yield loss avoided</t>
  </si>
  <si>
    <t>False positives</t>
  </si>
  <si>
    <t>Satellite; boundaries; scouting notes</t>
  </si>
  <si>
    <t>AGR-CEREAL-029</t>
  </si>
  <si>
    <t>Scout</t>
  </si>
  <si>
    <t>Disease Identification</t>
  </si>
  <si>
    <t>This backlog item targets Disease Identification in stage D, solving: Disease identification is inconsistent across scouts and regions. It uses Vision and runs in Propose-only mode, measuring success via Diagnosis accuracy; Fungicide ROI and mitigating risks such as Wrong treatment; approvals required with integrations like Mobile photos; disease library; weather.</t>
  </si>
  <si>
    <t>Diagnosis accuracy; Fungicide ROI</t>
  </si>
  <si>
    <t>Wrong treatment; approvals required</t>
  </si>
  <si>
    <t>Mobile photos; disease library; weather</t>
  </si>
  <si>
    <t>AGR-CEREAL-030</t>
  </si>
  <si>
    <t>Irrigation manager</t>
  </si>
  <si>
    <t>Irrigation Optimizer</t>
  </si>
  <si>
    <t>This backlog item targets Irrigation Optimizer in stage D, solving: Schedules don’t account for forecast uncertainty and tariff changes. It uses Optimization and runs in Execute-with-approval mode, measuring success via Water savings; Stress days reduced and mitigating risks such as Crop failure risk; approvals required with integrations like IoT moisture; forecast; irrigation control.</t>
  </si>
  <si>
    <t>Water savings; Stress days reduced</t>
  </si>
  <si>
    <t>Crop failure risk; approvals required</t>
  </si>
  <si>
    <t>IoT moisture; forecast; irrigation control</t>
  </si>
  <si>
    <t>AGR-CEREAL-031</t>
  </si>
  <si>
    <t>Variable Rate Nitrogen</t>
  </si>
  <si>
    <t>This backlog item targets Variable Rate Nitrogen in stage D, solving: Variable-rate nitrogen decisions are hard to justify and audit. It uses Optimization + Explainability and runs in Propose-only mode, measuring success via Protein targets hit; N efficiency and mitigating risks such as Environmental compliance with integrations like Soil tests; imagery; application logs.</t>
  </si>
  <si>
    <t>Optimization + Explainability</t>
  </si>
  <si>
    <t>Protein targets hit; N efficiency</t>
  </si>
  <si>
    <t>Environmental compliance</t>
  </si>
  <si>
    <t>Soil tests; imagery; application logs</t>
  </si>
  <si>
    <t>AGR-CEREAL-032</t>
  </si>
  <si>
    <t>Pest Outbreak Predictor</t>
  </si>
  <si>
    <t>This backlog item targets Pest Outbreak Predictor in stage D, solving: Outbreaks are detected late after irreversible damage. It uses Prediction and runs in Propose-only mode, measuring success via Detection lead time; Yield loss avoided and mitigating risks such as Uncertainty UX needed with integrations like Weather; traps; scouting; imagery.</t>
  </si>
  <si>
    <t>Detection lead time; Yield loss avoided</t>
  </si>
  <si>
    <t>Uncertainty UX needed</t>
  </si>
  <si>
    <t>Weather; traps; scouting; imagery</t>
  </si>
  <si>
    <t>AGR-CEREAL-033</t>
  </si>
  <si>
    <t>Co-op extension</t>
  </si>
  <si>
    <t>Localized Recommendations</t>
  </si>
  <si>
    <t>This backlog item targets Localized Recommendations in stage D, solving: Recommendations aren’t localized by microclimate and variety traits. It uses RAG-docs + Prediction and runs in Propose-only mode, measuring success via Adoption rate; Performance uplift and mitigating risks such as Advice liability with integrations like Local bulletins; crop models; farm data.</t>
  </si>
  <si>
    <t>RAG-docs + Prediction</t>
  </si>
  <si>
    <t>Adoption rate; Performance uplift</t>
  </si>
  <si>
    <t>Advice liability</t>
  </si>
  <si>
    <t>Local bulletins; crop models; farm data</t>
  </si>
  <si>
    <t>AGR-CEREAL-034</t>
  </si>
  <si>
    <t>Spray Timing Advisor</t>
  </si>
  <si>
    <t>This backlog item targets Spray Timing Advisor in stage D, solving: Spray timing is suboptimal, causing drift and efficacy loss. It uses Prediction + Rules and runs in Propose-only mode, measuring success via Efficacy; Drift incidents; Re-spray rate and mitigating risks such as Safety/regulatory with integrations like Forecast; spray logs; labels/SDS.</t>
  </si>
  <si>
    <t>Prediction + Rules</t>
  </si>
  <si>
    <t>Efficacy; Drift incidents; Re-spray rate</t>
  </si>
  <si>
    <t>Safety/regulatory</t>
  </si>
  <si>
    <t>Forecast; spray logs; labels/SDS</t>
  </si>
  <si>
    <t>AGR-CEREAL-035</t>
  </si>
  <si>
    <t>Calibrated Yield Forecast</t>
  </si>
  <si>
    <t>This backlog item targets Calibrated Yield Forecast in stage D, solving: Yield forecasts aren’t calibrated and ignore field events. It uses Probabilistic forecasting and runs in Read-only mode, measuring success via Forecast error; Usefulness score and mitigating risks such as Overconfidence risk with integrations like Imagery; weather; ops events.</t>
  </si>
  <si>
    <t>Probabilistic forecasting</t>
  </si>
  <si>
    <t>Forecast error; Usefulness score</t>
  </si>
  <si>
    <t>Overconfidence risk</t>
  </si>
  <si>
    <t>Imagery; weather; ops events</t>
  </si>
  <si>
    <t>AGR-CEREAL-036</t>
  </si>
  <si>
    <t>Insurance/claims</t>
  </si>
  <si>
    <t>Loss Assessment Assist</t>
  </si>
  <si>
    <t>This backlog item targets Loss Assessment Assist in stage D, solving: Loss assessment is slow and contentious. It uses Vision + Anomaly and runs in Propose-only mode, measuring success via Claim cycle time; Dispute rate and mitigating risks such as Fairness and transparency with integrations like Imagery; weather; field logs.</t>
  </si>
  <si>
    <t>Vision + Anomaly</t>
  </si>
  <si>
    <t>Claim cycle time; Dispute rate</t>
  </si>
  <si>
    <t>Fairness and transparency</t>
  </si>
  <si>
    <t>Imagery; weather; field logs</t>
  </si>
  <si>
    <t>AGR-CEREAL-037</t>
  </si>
  <si>
    <t>Sustainability</t>
  </si>
  <si>
    <t>Soil Health Tracking</t>
  </si>
  <si>
    <t>This backlog item targets Soil Health Tracking in stage D, solving: Tracking soil health progress is manual and inconsistent. It uses Analytics + Estimation and runs in Read-only mode, measuring success via Reporting cycle time; Data completeness and mitigating risks such as Estimation accuracy; audit with integrations like Soil tests; rotations; cover crop logs.</t>
  </si>
  <si>
    <t>Analytics + Estimation</t>
  </si>
  <si>
    <t>Reporting cycle time; Data completeness</t>
  </si>
  <si>
    <t>Estimation accuracy; audit</t>
  </si>
  <si>
    <t>Soil tests; rotations; cover crop logs</t>
  </si>
  <si>
    <t>AGR-CEREAL-038</t>
  </si>
  <si>
    <t>Alert Ranking</t>
  </si>
  <si>
    <t>This backlog item targets Alert Ranking in stage D, solving: Alerts are noisy and users ignore them. It uses Alert ranking and runs in Read-only mode, measuring success via Alert action rate; False alert rate and mitigating risks such as Missed critical alerts with integrations like All monitoring sources.</t>
  </si>
  <si>
    <t>Alert ranking</t>
  </si>
  <si>
    <t>Alert action rate; False alert rate</t>
  </si>
  <si>
    <t>Missed critical alerts</t>
  </si>
  <si>
    <t>All monitoring sources</t>
  </si>
  <si>
    <t>AGR-CEREAL-039</t>
  </si>
  <si>
    <t>Admin/IT</t>
  </si>
  <si>
    <t>Data Quality Guardrails</t>
  </si>
  <si>
    <t>This backlog item targets Data Quality Guardrails in stage D, solving: Data quality issues corrupt models and decisions. It uses Anomaly + Data validation and runs in Execute-with-approval mode, measuring success via Data error rate; Model stability and mitigating risks such as False flags; workflow needed with integrations like ERP; GIS; sensors; ETL.</t>
  </si>
  <si>
    <t>Anomaly + Data validation</t>
  </si>
  <si>
    <t>Data error rate; Model stability</t>
  </si>
  <si>
    <t>False flags; workflow needed</t>
  </si>
  <si>
    <t>ERP; GIS; sensors; ETL</t>
  </si>
  <si>
    <t>AGR-CEREAL-040</t>
  </si>
  <si>
    <t>E</t>
  </si>
  <si>
    <t>Harvest manager</t>
  </si>
  <si>
    <t>Harvest Window Predictor</t>
  </si>
  <si>
    <t>This backlog item targets Harvest Window Predictor in stage E, solving: Harvest timing ignores moisture tradeoffs and weather loss risk. It uses Prediction and runs in Propose-only mode, measuring success via Losses avoided; Drying cost reduction and mitigating risks such as Weather uncertainty with integrations like Maturity models; forecast; moisture samples.</t>
  </si>
  <si>
    <t>Losses avoided; Drying cost reduction</t>
  </si>
  <si>
    <t>Weather uncertainty</t>
  </si>
  <si>
    <t>Maturity models; forecast; moisture samples</t>
  </si>
  <si>
    <t>AGR-CEREAL-041</t>
  </si>
  <si>
    <t>Combine operator</t>
  </si>
  <si>
    <t>Combine Settings Optimizer</t>
  </si>
  <si>
    <t>This backlog item targets Combine Settings Optimizer in stage E, solving: Settings aren’t optimized, increasing grain loss. It uses Optimization and runs in Propose-only mode, measuring success via Loss %; Throughput; Fuel/ton and mitigating risks such as Sensor reliability with integrations like Combine telemetry; yield monitor.</t>
  </si>
  <si>
    <t>Loss %; Throughput; Fuel/ton</t>
  </si>
  <si>
    <t>Sensor reliability</t>
  </si>
  <si>
    <t>Combine telemetry; yield monitor</t>
  </si>
  <si>
    <t>AGR-CEREAL-042</t>
  </si>
  <si>
    <t>Dispatcher</t>
  </si>
  <si>
    <t>Harvest-to-Truck Dispatch</t>
  </si>
  <si>
    <t>This backlog item targets Harvest-to-Truck Dispatch in stage E, solving: Coordination causes waiting and spoilage risk. It uses Dispatch optimization and runs in Execute-with-approval mode, measuring success via Idle time; Turnaround time and mitigating risks such as Operational disruption with integrations like GPS; silo queues; harvest schedule.</t>
  </si>
  <si>
    <t>Dispatch optimization</t>
  </si>
  <si>
    <t>Idle time; Turnaround time</t>
  </si>
  <si>
    <t>Operational disruption</t>
  </si>
  <si>
    <t>GPS; silo queues; harvest schedule</t>
  </si>
  <si>
    <t>AGR-CEREAL-043</t>
  </si>
  <si>
    <t>QA</t>
  </si>
  <si>
    <t>Mycotoxin Risk Flags</t>
  </si>
  <si>
    <t>This backlog item targets Mycotoxin Risk Flags in stage E, solving: Mycotoxin risk isn’t detected early enough to segregate lots. It uses Prediction + Anomaly and runs in Propose-only mode, measuring success via Contamination incidents; Rejected loads and mitigating risks such as Food safety with integrations like Weather history; moisture; lab tests.</t>
  </si>
  <si>
    <t>Prediction + Anomaly</t>
  </si>
  <si>
    <t>Contamination incidents; Rejected loads</t>
  </si>
  <si>
    <t>Food safety</t>
  </si>
  <si>
    <t>Weather history; moisture; lab tests</t>
  </si>
  <si>
    <t>AGR-CEREAL-044</t>
  </si>
  <si>
    <t>Yield Map Insights</t>
  </si>
  <si>
    <t>This backlog item targets Yield Map Insights in stage E, solving: Yield maps aren’t converted into next-season actions. It uses Analytics copilot and runs in Propose-only mode, measuring success via Action adoption; Next-season uplift and mitigating risks such as Incorrect causality with integrations like Yield maps; ops logs; soil.</t>
  </si>
  <si>
    <t>Action adoption; Next-season uplift</t>
  </si>
  <si>
    <t>Incorrect causality</t>
  </si>
  <si>
    <t>Yield maps; ops logs; soil</t>
  </si>
  <si>
    <t>AGR-CEREAL-045</t>
  </si>
  <si>
    <t>Maintenance</t>
  </si>
  <si>
    <t>Harvest Predictive Maintenance</t>
  </si>
  <si>
    <t>This backlog item targets Harvest Predictive Maintenance in stage E, solving: Harvest-time breakdowns are catastrophic and predictable but ignored. It uses Predictive maintenance and runs in Propose-only mode, measuring success via Unplanned downtime; Repair cost and mitigating risks such as False positives with integrations like Telemetry; maintenance history.</t>
  </si>
  <si>
    <t>Predictive maintenance</t>
  </si>
  <si>
    <t>Unplanned downtime; Repair cost</t>
  </si>
  <si>
    <t>Telemetry; maintenance history</t>
  </si>
  <si>
    <t>AGR-CEREAL-046</t>
  </si>
  <si>
    <t>Harvest Cost Visibility</t>
  </si>
  <si>
    <t>This backlog item targets Harvest Cost Visibility in stage E, solving: Harvest cost tracking lags, hiding margin changes. It uses Analytics automation and runs in Read-only mode, measuring success via Cost visibility latency; Margin variance and mitigating risks such as Accounting alignment with integrations like Fuel; labor; repairs; yield.</t>
  </si>
  <si>
    <t>Analytics automation</t>
  </si>
  <si>
    <t>Cost visibility latency; Margin variance</t>
  </si>
  <si>
    <t>Accounting alignment</t>
  </si>
  <si>
    <t>Fuel; labor; repairs; yield</t>
  </si>
  <si>
    <t>AGR-CEREAL-047</t>
  </si>
  <si>
    <t>Co-op</t>
  </si>
  <si>
    <t>Silo Intake Scheduling</t>
  </si>
  <si>
    <t>This backlog item targets Silo Intake Scheduling in stage E, solving: Intake scheduling is chaotic, causing queues and quality degradation. It uses Scheduling optimization and runs in Execute-with-approval mode, measuring success via Queue time; Reject rate and mitigating risks such as Fairness and service-level with integrations like Appointments; scale tickets; capacity.</t>
  </si>
  <si>
    <t>Scheduling optimization</t>
  </si>
  <si>
    <t>Queue time; Reject rate</t>
  </si>
  <si>
    <t>Fairness and service-level</t>
  </si>
  <si>
    <t>Appointments; scale tickets; capacity</t>
  </si>
  <si>
    <t>AGR-CEREAL-048</t>
  </si>
  <si>
    <t>F</t>
  </si>
  <si>
    <t>Silo manager</t>
  </si>
  <si>
    <t>Aeration Control</t>
  </si>
  <si>
    <t>This backlog item targets Aeration Control in stage F, solving: Aeration control is manual and reacts too late to hotspots. It uses Anomaly + Control optimization and runs in Execute-with-approval mode, measuring success via Spoilage %; Energy cost; Hotspot incidents and mitigating risks such as Wrong control damages quality with integrations like Bin sensors; fan controls; weather.</t>
  </si>
  <si>
    <t>Anomaly + Control optimization</t>
  </si>
  <si>
    <t>Spoilage %; Energy cost; Hotspot incidents</t>
  </si>
  <si>
    <t>Wrong control damages quality</t>
  </si>
  <si>
    <t>Bin sensors; fan controls; weather</t>
  </si>
  <si>
    <t>AGR-CEREAL-049</t>
  </si>
  <si>
    <t>Blend Optimization</t>
  </si>
  <si>
    <t>This backlog item targets Blend Optimization in stage F, solving: Lot blending isn’t optimized for contracts and specs. It uses Optimization and runs in Propose-only mode, measuring success via Contract compliance %; Revenue/ton and mitigating risks such as Traceability complexity with integrations like Inventory lots; specs; contracts.</t>
  </si>
  <si>
    <t>Contract compliance %; Revenue/ton</t>
  </si>
  <si>
    <t>Traceability complexity</t>
  </si>
  <si>
    <t>Inventory lots; specs; contracts</t>
  </si>
  <si>
    <t>AGR-CEREAL-050</t>
  </si>
  <si>
    <t>Inventory controller</t>
  </si>
  <si>
    <t>Shrink/Theft Detection</t>
  </si>
  <si>
    <t>This backlog item targets Shrink/Theft Detection in stage F, solving: Shrink and theft signals are found after losses occur. It uses Anomaly detection and runs in Read-only mode, measuring success via Shrink %; Detection lead time and mitigating risks such as False accusations with integrations like Scale tickets; CCTV metadata; access logs.</t>
  </si>
  <si>
    <t>Shrink %; Detection lead time</t>
  </si>
  <si>
    <t>False accusations</t>
  </si>
  <si>
    <t>Scale tickets; CCTV metadata; access logs</t>
  </si>
  <si>
    <t>AGR-CEREAL-051</t>
  </si>
  <si>
    <t>Storage Inspection Copilot</t>
  </si>
  <si>
    <t>This backlog item targets Storage Inspection Copilot in stage F, solving: Storage inspections and HACCP-style checks are inconsistent. It uses Copilot + Checklist and runs in Propose-only mode, measuring success via Inspection completeness; Findings reduced and mitigating risks such as Audit reliance with integrations like SOPs; inspection logs; sensor trends.</t>
  </si>
  <si>
    <t>Copilot + Checklist</t>
  </si>
  <si>
    <t>Inspection completeness; Findings reduced</t>
  </si>
  <si>
    <t>Audit reliance</t>
  </si>
  <si>
    <t>SOPs; inspection logs; sensor trends</t>
  </si>
  <si>
    <t>AGR-CEREAL-052</t>
  </si>
  <si>
    <t>Inventory Reconciliation</t>
  </si>
  <si>
    <t>This backlog item targets Inventory Reconciliation in stage F, solving: Reconciliation between physical and ERP is slow and error-prone. It uses Anomaly + Automation and runs in Execute-with-approval mode, measuring success via Reconciliation time; Adjustment rate and mitigating risks such as Financial reporting impacts with integrations like ERP; scale system; sensor estimates.</t>
  </si>
  <si>
    <t>Anomaly + Automation</t>
  </si>
  <si>
    <t>Reconciliation time; Adjustment rate</t>
  </si>
  <si>
    <t>Financial reporting impacts</t>
  </si>
  <si>
    <t>ERP; scale system; sensor estimates</t>
  </si>
  <si>
    <t>AGR-CEREAL-053</t>
  </si>
  <si>
    <t>Moisture Out-of-Spec Predictor</t>
  </si>
  <si>
    <t>This backlog item targets Moisture Out-of-Spec Predictor in stage F, solving: Moisture out-of-spec is detected after mixing lots. It uses Prediction and runs in Propose-only mode, measuring success via Rework reduced; Spec compliance and mitigating risks such as Sensor calibration with integrations like Moisture readings; sampling logs.</t>
  </si>
  <si>
    <t>Rework reduced; Spec compliance</t>
  </si>
  <si>
    <t>Sensor calibration</t>
  </si>
  <si>
    <t>Moisture readings; sampling logs</t>
  </si>
  <si>
    <t>AGR-CEREAL-054</t>
  </si>
  <si>
    <t>Supply chain planner</t>
  </si>
  <si>
    <t>Capacity Constraint Feedback</t>
  </si>
  <si>
    <t>This backlog item targets Capacity Constraint Feedback in stage F, solving: Storage capacity constraints aren’t fed upstream to harvest plans. It uses Constraint optimization and runs in Propose-only mode, measuring success via Overflow events; Emergency transport cost and mitigating risks such as Coordination complexity with integrations like Bin capacity; harvest forecasts; logistics.</t>
  </si>
  <si>
    <t>Constraint optimization</t>
  </si>
  <si>
    <t>Overflow events; Emergency transport cost</t>
  </si>
  <si>
    <t>Coordination complexity</t>
  </si>
  <si>
    <t>Bin capacity; harvest forecasts; logistics</t>
  </si>
  <si>
    <t>AGR-CEREAL-055</t>
  </si>
  <si>
    <t>IT/Sec</t>
  </si>
  <si>
    <t>IoT Security Monitoring</t>
  </si>
  <si>
    <t>This backlog item targets IoT Security Monitoring in stage F, solving: Storage/IoT systems are insecure and prone to tampering. It uses Security anomaly and runs in Read-only mode, measuring success via Incident rate; Time-to-detect and mitigating risks such as Operational sensitivity with integrations like IoT gateway logs; SIEM.</t>
  </si>
  <si>
    <t>Security anomaly</t>
  </si>
  <si>
    <t>Incident rate; Time-to-detect</t>
  </si>
  <si>
    <t>Operational sensitivity</t>
  </si>
  <si>
    <t>IoT gateway logs; SIEM</t>
  </si>
  <si>
    <t>AGR-CEREAL-056</t>
  </si>
  <si>
    <t>G</t>
  </si>
  <si>
    <t>Routing with Constraints</t>
  </si>
  <si>
    <t>This backlog item targets Routing with Constraints in stage G, solving: Routing doesn’t consider restrictions, congestion, appointments. It uses Optimization and runs in Execute-with-approval mode, measuring success via On-time %; Cost/ton-km and mitigating risks such as Operational disruption with integrations like TMS; GPS; appointments; traffic.</t>
  </si>
  <si>
    <t>On-time %; Cost/ton-km</t>
  </si>
  <si>
    <t>TMS; GPS; appointments; traffic</t>
  </si>
  <si>
    <t>AGR-CEREAL-057</t>
  </si>
  <si>
    <t>Trade compliance</t>
  </si>
  <si>
    <t>Export Docs Automation</t>
  </si>
  <si>
    <t>This backlog item targets Export Docs Automation in stage G, solving: Export docs are slow/error-prone, causing delays and penalties. It uses Document AI and runs in Execute-with-approval mode, measuring success via Doc error rate; Cycle time and mitigating risks such as Legal compliance with integrations like Customs templates; invoices; certificates.</t>
  </si>
  <si>
    <t>Document AI</t>
  </si>
  <si>
    <t>Doc error rate; Cycle time</t>
  </si>
  <si>
    <t>Legal compliance</t>
  </si>
  <si>
    <t>Customs templates; invoices; certificates</t>
  </si>
  <si>
    <t>AGR-CEREAL-058</t>
  </si>
  <si>
    <t>Freight Billing Anomalies</t>
  </si>
  <si>
    <t>This backlog item targets Freight Billing Anomalies in stage G, solving: Billing disputes aren’t detected early. It uses Anomaly detection and runs in Propose-only mode, measuring success via Dispute rate; Overpayment prevented and mitigating risks such as Vendor relationship with integrations like Invoices; GPS proof; weights.</t>
  </si>
  <si>
    <t>Dispute rate; Overpayment prevented</t>
  </si>
  <si>
    <t>Vendor relationship</t>
  </si>
  <si>
    <t>Invoices; GPS proof; weights</t>
  </si>
  <si>
    <t>AGR-CEREAL-059</t>
  </si>
  <si>
    <t>Risk/QA</t>
  </si>
  <si>
    <t>In-transit Quality Risk</t>
  </si>
  <si>
    <t>This backlog item targets In-transit Quality Risk in stage G, solving: In-transit quality degradation isn’t monitored. It uses Anomaly + Prediction and runs in Propose-only mode, measuring success via Rejected loads; Claims reduced and mitigating risks such as Sensor coverage with integrations like IoT in transit; receiving QC.</t>
  </si>
  <si>
    <t>Anomaly + Prediction</t>
  </si>
  <si>
    <t>Rejected loads; Claims reduced</t>
  </si>
  <si>
    <t>Sensor coverage</t>
  </si>
  <si>
    <t>IoT in transit; receiving QC</t>
  </si>
  <si>
    <t>AGR-CEREAL-060</t>
  </si>
  <si>
    <t>Security</t>
  </si>
  <si>
    <t>Cargo Theft/Diversion</t>
  </si>
  <si>
    <t>This backlog item targets Cargo Theft/Diversion in stage G, solving: Cargo theft and diversion aren’t flagged until delivery fails. It uses Anomaly detection and runs in Read-only mode, measuring success via Theft incidents; Detection lead time and mitigating risks such as False positives with integrations like GPS; geofencing; weight checks.</t>
  </si>
  <si>
    <t>Theft incidents; Detection lead time</t>
  </si>
  <si>
    <t>GPS; geofencing; weight checks</t>
  </si>
  <si>
    <t>AGR-CEREAL-061</t>
  </si>
  <si>
    <t>ESG</t>
  </si>
  <si>
    <t>Shipment Carbon Reporting</t>
  </si>
  <si>
    <t>This backlog item targets Shipment Carbon Reporting in stage G, solving: Carbon reporting is manual and unverifiable. It uses Estimation + Reporting automation and runs in Read-only mode, measuring success via Reporting cycle time; Auditability and mitigating risks such as Factor correctness with integrations like Route logs; fuel; shipment weights.</t>
  </si>
  <si>
    <t>Estimation + Reporting automation</t>
  </si>
  <si>
    <t>Reporting cycle time; Auditability</t>
  </si>
  <si>
    <t>Factor correctness</t>
  </si>
  <si>
    <t>Route logs; fuel; shipment weights</t>
  </si>
  <si>
    <t>AGR-CEREAL-062</t>
  </si>
  <si>
    <t>Exception Management Copilot</t>
  </si>
  <si>
    <t>This backlog item targets Exception Management Copilot in stage G, solving: Exception management is chaotic across email and calls. It uses Workflow copilot and runs in Propose-only mode, measuring success via Resolution time; Service level and mitigating risks such as Wrong routing with integrations like Email; TMS; Slack/SMS.</t>
  </si>
  <si>
    <t>Workflow copilot</t>
  </si>
  <si>
    <t>Resolution time; Service level</t>
  </si>
  <si>
    <t>Wrong routing</t>
  </si>
  <si>
    <t>Email; TMS; Slack/SMS</t>
  </si>
  <si>
    <t>AGR-CEREAL-063</t>
  </si>
  <si>
    <t>H</t>
  </si>
  <si>
    <t>Plant QA</t>
  </si>
  <si>
    <t>Incoming Lot Classification</t>
  </si>
  <si>
    <t>This backlog item targets Incoming Lot Classification in stage H, solving: Incoming lots aren’t classified fast enough; bad grain enters production. It uses Classification + Anomaly and runs in Execute-with-approval mode, measuring success via Reject accuracy; Contamination incidents and mitigating risks such as Food safety with integrations like Lab tests; NIR sensors; intake logs.</t>
  </si>
  <si>
    <t>Classification + Anomaly</t>
  </si>
  <si>
    <t>Reject accuracy; Contamination incidents</t>
  </si>
  <si>
    <t>Lab tests; NIR sensors; intake logs</t>
  </si>
  <si>
    <t>AGR-CEREAL-064</t>
  </si>
  <si>
    <t>Plant ops</t>
  </si>
  <si>
    <t>Process Parameter Optimization</t>
  </si>
  <si>
    <t>This backlog item targets Process Parameter Optimization in stage H, solving: Process parameters tuned manually reduce yield and increase energy. It uses Optimization and runs in Propose-only mode, measuring success via Yield; Energy/ton; Throughput and mitigating risks such as Process stability with integrations like SCADA; batch records.</t>
  </si>
  <si>
    <t>Yield; Energy/ton; Throughput</t>
  </si>
  <si>
    <t>Process stability</t>
  </si>
  <si>
    <t>SCADA; batch records</t>
  </si>
  <si>
    <t>AGR-CEREAL-065</t>
  </si>
  <si>
    <t>Packaging Line PdM</t>
  </si>
  <si>
    <t>This backlog item targets Packaging Line PdM in stage H, solving: Packaging line failures cause rework and missed shipments. It uses Predictive maintenance and runs in Propose-only mode, measuring success via Downtime; Defect rate and mitigating risks such as False positives with integrations like PLC/SCADA; CMMS.</t>
  </si>
  <si>
    <t>Downtime; Defect rate</t>
  </si>
  <si>
    <t>PLC/SCADA; CMMS</t>
  </si>
  <si>
    <t>AGR-CEREAL-066</t>
  </si>
  <si>
    <t>HACCP Evidence Builder</t>
  </si>
  <si>
    <t>This backlog item targets HACCP Evidence Builder in stage H, solving: HACCP evidence is scattered and painful to compile for audits. It uses RAG-docs + Evidence automation and runs in Read-only mode, measuring success via Audit prep time; Findings reduced and mitigating risks such as Evidence integrity with integrations like QMS; SOPs; logs.</t>
  </si>
  <si>
    <t>RAG-docs + Evidence automation</t>
  </si>
  <si>
    <t>Audit prep time; Findings reduced</t>
  </si>
  <si>
    <t>Evidence integrity</t>
  </si>
  <si>
    <t>QMS; SOPs; logs</t>
  </si>
  <si>
    <t>AGR-CEREAL-067</t>
  </si>
  <si>
    <t>Production planner</t>
  </si>
  <si>
    <t>Batch Scheduling with Constraints</t>
  </si>
  <si>
    <t>This backlog item targets Batch Scheduling with Constraints in stage H, solving: Batch scheduling ignores quality constraints and changeover losses. It uses Scheduling optimization and runs in Propose-only mode, measuring success via Throughput; Changeover time; OEE and mitigating risks such as Operational constraints with integrations like ERP/MES; inventory; specs.</t>
  </si>
  <si>
    <t>Throughput; Changeover time; OEE</t>
  </si>
  <si>
    <t>Operational constraints</t>
  </si>
  <si>
    <t>ERP/MES; inventory; specs</t>
  </si>
  <si>
    <t>AGR-CEREAL-068</t>
  </si>
  <si>
    <t>Product dev</t>
  </si>
  <si>
    <t>Formulation Optimizer</t>
  </si>
  <si>
    <t>This backlog item targets Formulation Optimizer in stage H, solving: Reformulation to meet cost and quality targets is slow and experimental. It uses Optimization + Simulation and runs in Propose-only mode, measuring success via Time-to-formulate; Quality pass rate and mitigating risks such as Brand/sensory impacts with integrations like Recipe DB; quality outcomes.</t>
  </si>
  <si>
    <t>Optimization + Simulation</t>
  </si>
  <si>
    <t>Time-to-formulate; Quality pass rate</t>
  </si>
  <si>
    <t>Brand/sensory impacts</t>
  </si>
  <si>
    <t>Recipe DB; quality outcomes</t>
  </si>
  <si>
    <t>AGR-CEREAL-069</t>
  </si>
  <si>
    <t>Label/Allergen Compliance</t>
  </si>
  <si>
    <t>This backlog item targets Label/Allergen Compliance in stage H, solving: Allergen and labeling checks miss edge cases during changes. It uses Rules + Document AI and runs in Execute-with-approval mode, measuring success via Label compliance; Recall prevention and mitigating risks such as Regulatory fines with integrations like Label templates; ingredient system.</t>
  </si>
  <si>
    <t>Rules + Document AI</t>
  </si>
  <si>
    <t>Label compliance; Recall prevention</t>
  </si>
  <si>
    <t>Regulatory fines</t>
  </si>
  <si>
    <t>Label templates; ingredient system</t>
  </si>
  <si>
    <t>AGR-CEREAL-070</t>
  </si>
  <si>
    <t>Yield Loss RCA Copilot</t>
  </si>
  <si>
    <t>This backlog item targets Yield Loss RCA Copilot in stage H, solving: Yield loss root causes are unclear across intake quality and process settings. It uses Analytics copilot and runs in Read-only mode, measuring success via Yield variance explained; Corrective action rate and mitigating risks such as Wrong causality with integrations like Intake QC; process logs; batch yields.</t>
  </si>
  <si>
    <t>Yield variance explained; Corrective action rate</t>
  </si>
  <si>
    <t>Wrong causality</t>
  </si>
  <si>
    <t>Intake QC; process logs; batch yields</t>
  </si>
  <si>
    <t>AGR-CEREAL-071</t>
  </si>
  <si>
    <t>Risk</t>
  </si>
  <si>
    <t>Provenance Query during Incidents</t>
  </si>
  <si>
    <t>This backlog item targets Provenance Query during Incidents in stage H, solving: Supplier/lot provenance not queryable during incidents. It uses Traceability graph + RAG and runs in Read-only mode, measuring success via Time-to-trace; Containment time and mitigating risks such as Data completeness with integrations like Lot lineage; ERP/MES.</t>
  </si>
  <si>
    <t>Traceability graph + RAG</t>
  </si>
  <si>
    <t>Time-to-trace; Containment time</t>
  </si>
  <si>
    <t>Data completeness</t>
  </si>
  <si>
    <t>Lot lineage; ERP/MES</t>
  </si>
  <si>
    <t>AGR-CEREAL-072</t>
  </si>
  <si>
    <t>I</t>
  </si>
  <si>
    <t>Demand planner</t>
  </si>
  <si>
    <t>Retail Demand Forecast</t>
  </si>
  <si>
    <t>This backlog item targets Retail Demand Forecast in stage I, solving: Forecasts are inaccurate during promotions and seasonality. It uses Forecasting and runs in Read-only mode, measuring success via Forecast error; Stockouts %; Waste % and mitigating risks such as Data drift with integrations like POS; promotions; shipments.</t>
  </si>
  <si>
    <t>Forecast error; Stockouts %; Waste %</t>
  </si>
  <si>
    <t>Data drift</t>
  </si>
  <si>
    <t>POS; promotions; shipments</t>
  </si>
  <si>
    <t>AGR-CEREAL-073</t>
  </si>
  <si>
    <t>DC manager</t>
  </si>
  <si>
    <t>Allocation Optimization</t>
  </si>
  <si>
    <t>This backlog item targets Allocation Optimization in stage I, solving: Inventory allocation is reactive and causes shortages. It uses Optimization and runs in Propose-only mode, measuring success via Service level; Transport cost and mitigating risks such as Fairness across customers with integrations like WMS; TMS; demand.</t>
  </si>
  <si>
    <t>Service level; Transport cost</t>
  </si>
  <si>
    <t>Fairness across customers</t>
  </si>
  <si>
    <t>WMS; TMS; demand</t>
  </si>
  <si>
    <t>AGR-CEREAL-074</t>
  </si>
  <si>
    <t>Retail ops</t>
  </si>
  <si>
    <t>Expiry Waste Predictor</t>
  </si>
  <si>
    <t>This backlog item targets Expiry Waste Predictor in stage I, solving: Spoilage and expiry waste isn’t predicted early enough. It uses Prediction and runs in Propose-only mode, measuring success via Waste %; Markdown effectiveness and mitigating risks such as Pricing sensitivity with integrations like Inventory age; sales velocity.</t>
  </si>
  <si>
    <t>Waste %; Markdown effectiveness</t>
  </si>
  <si>
    <t>Pricing sensitivity</t>
  </si>
  <si>
    <t>Inventory age; sales velocity</t>
  </si>
  <si>
    <t>AGR-CEREAL-075</t>
  </si>
  <si>
    <t>Pricing manager</t>
  </si>
  <si>
    <t>Pricing &amp; Promo Optimizer</t>
  </si>
  <si>
    <t>This backlog item targets Pricing &amp; Promo Optimizer in stage I, solving: Pricing doesn’t reflect elasticity and competitor movements. It uses Optimization and runs in Propose-only mode, measuring success via Margin; Volume; Promo ROI and mitigating risks such as Brand impact with integrations like POS; competitor prices; promo calendar.</t>
  </si>
  <si>
    <t>Margin; Volume; Promo ROI</t>
  </si>
  <si>
    <t>Brand impact</t>
  </si>
  <si>
    <t>POS; competitor prices; promo calendar</t>
  </si>
  <si>
    <t>AGR-CEREAL-076</t>
  </si>
  <si>
    <t>Customer service</t>
  </si>
  <si>
    <t>Complaint-to-Lot Linkage</t>
  </si>
  <si>
    <t>This backlog item targets Complaint-to-Lot Linkage in stage I, solving: Complaints aren’t linked back to lots/quality signals quickly. It uses NLP + Traceability and runs in Read-only mode, measuring success via Time-to-trace; Repeat complaint rate and mitigating risks such as Privacy with integrations like CRM; lot IDs; QA logs.</t>
  </si>
  <si>
    <t>NLP + Traceability</t>
  </si>
  <si>
    <t>Time-to-trace; Repeat complaint rate</t>
  </si>
  <si>
    <t>Privacy</t>
  </si>
  <si>
    <t>CRM; lot IDs; QA logs</t>
  </si>
  <si>
    <t>AGR-CEREAL-077</t>
  </si>
  <si>
    <t>Distributor</t>
  </si>
  <si>
    <t>Fill-rate Anomaly Monitor</t>
  </si>
  <si>
    <t>This backlog item targets Fill-rate Anomaly Monitor in stage I, solving: Fill-rate problems are hidden until orders are missed. It uses Anomaly detection and runs in Read-only mode, measuring success via Fill-rate; Late orders and mitigating risks such as False alerts with integrations like OMS; WMS.</t>
  </si>
  <si>
    <t>Fill-rate; Late orders</t>
  </si>
  <si>
    <t>False alerts</t>
  </si>
  <si>
    <t>OMS; WMS</t>
  </si>
  <si>
    <t>AGR-CEREAL-078</t>
  </si>
  <si>
    <t>Retail compliance</t>
  </si>
  <si>
    <t>Recall Execution Automation</t>
  </si>
  <si>
    <t>This backlog item targets Recall Execution Automation in stage I, solving: Recall execution is slow and inconsistent across channels. It uses Workflow automation and runs in Execute-with-approval mode, measuring success via Time-to-remove; % units recovered and mitigating risks such as Public safety with integrations like POS; inventory; alerts; comms.</t>
  </si>
  <si>
    <t>Time-to-remove; % units recovered</t>
  </si>
  <si>
    <t>Public safety</t>
  </si>
  <si>
    <t>POS; inventory; alerts; comms</t>
  </si>
  <si>
    <t>AGR-CEREAL-079</t>
  </si>
  <si>
    <t>Category manager</t>
  </si>
  <si>
    <t>Assortment Optimization</t>
  </si>
  <si>
    <t>This backlog item targets Assortment Optimization in stage I, solving: Assortment doesn’t reflect local demand and substitution patterns. It uses Analytics + Clustering and runs in Propose-only mode, measuring success via Sales lift; OOS reduction and mitigating risks such as Bias with integrations like POS; demographics; planograms.</t>
  </si>
  <si>
    <t>Analytics + Clustering</t>
  </si>
  <si>
    <t>Sales lift; OOS reduction</t>
  </si>
  <si>
    <t>Bias</t>
  </si>
  <si>
    <t>POS; demographics; planograms</t>
  </si>
  <si>
    <t>AGR-CEREAL-080</t>
  </si>
  <si>
    <t>End-to-End Margin Copilot</t>
  </si>
  <si>
    <t>This backlog item targets End-to-End Margin Copilot in stage I, solving: End-to-end margin leakage is impossible to pinpoint fast. It uses Analytics copilot and runs in Read-only mode, measuring success via Margin visibility time; Leakage recovered and mitigating risks such as Reconciliation complexity with integrations like ERP; MES; TMS; POS.</t>
  </si>
  <si>
    <t>Margin visibility time; Leakage recovered</t>
  </si>
  <si>
    <t>Reconciliation complexity</t>
  </si>
  <si>
    <t>ERP; MES; TMS;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</si>
</sst>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5"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am_agri_mapping_issues_to_ideas_and_features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 Issues -&gt; 80 Ideas"/>
      <sheetName val="Map Issues -&gt; Features"/>
      <sheetName val="Idea Details (mapped)"/>
      <sheetName val="Feature Details (mapped)"/>
      <sheetName val="Current Backlog (14)"/>
      <sheetName val="Initial Backlog (80)"/>
      <sheetName val="Initial Feature Inventory"/>
      <sheetName val="Industry Coverage"/>
    </sheetNames>
    <sheetDataSet>
      <sheetData sheetId="0"/>
      <sheetData sheetId="1"/>
      <sheetData sheetId="2">
        <row r="1">
          <cell r="E1" t="str">
            <v>Idea ID</v>
          </cell>
          <cell r="F1" t="str">
            <v>Stage</v>
          </cell>
        </row>
        <row r="2">
          <cell r="E2" t="str">
            <v>AGR-CEREAL-022</v>
          </cell>
          <cell r="F2" t="str">
            <v>C</v>
          </cell>
        </row>
        <row r="3">
          <cell r="E3" t="str">
            <v>AGR-CEREAL-050</v>
          </cell>
          <cell r="F3" t="str">
            <v>F</v>
          </cell>
        </row>
        <row r="4">
          <cell r="E4" t="str">
            <v>AGR-CEREAL-009</v>
          </cell>
          <cell r="F4" t="str">
            <v>A</v>
          </cell>
        </row>
        <row r="5">
          <cell r="E5" t="str">
            <v>AGR-CEREAL-004</v>
          </cell>
          <cell r="F5" t="str">
            <v>A</v>
          </cell>
        </row>
        <row r="6">
          <cell r="E6" t="str">
            <v>AGR-CEREAL-051</v>
          </cell>
          <cell r="F6" t="str">
            <v>F</v>
          </cell>
        </row>
        <row r="7">
          <cell r="E7" t="str">
            <v>AGR-CEREAL-010</v>
          </cell>
          <cell r="F7" t="str">
            <v>A</v>
          </cell>
        </row>
        <row r="8">
          <cell r="E8" t="str">
            <v>AGR-CEREAL-049</v>
          </cell>
          <cell r="F8" t="str">
            <v>F</v>
          </cell>
        </row>
        <row r="9">
          <cell r="E9" t="str">
            <v>AGR-CEREAL-020</v>
          </cell>
          <cell r="F9" t="str">
            <v>C</v>
          </cell>
        </row>
        <row r="10">
          <cell r="E10" t="str">
            <v>AGR-CEREAL-076</v>
          </cell>
          <cell r="F10" t="str">
            <v>I</v>
          </cell>
        </row>
        <row r="11">
          <cell r="E11" t="str">
            <v>AGR-CEREAL-071</v>
          </cell>
          <cell r="F11" t="str">
            <v>H</v>
          </cell>
        </row>
        <row r="12">
          <cell r="E12" t="str">
            <v>AGR-CEREAL-024</v>
          </cell>
          <cell r="F12" t="str">
            <v>C</v>
          </cell>
        </row>
        <row r="13">
          <cell r="E13" t="str">
            <v>AGR-CEREAL-051</v>
          </cell>
          <cell r="F13" t="str">
            <v>F</v>
          </cell>
        </row>
        <row r="14">
          <cell r="E14" t="str">
            <v>AGR-CEREAL-070</v>
          </cell>
          <cell r="F14" t="str">
            <v>H</v>
          </cell>
        </row>
        <row r="15">
          <cell r="E15" t="str">
            <v>AGR-CEREAL-059</v>
          </cell>
          <cell r="F15" t="str">
            <v>G</v>
          </cell>
        </row>
        <row r="16">
          <cell r="E16" t="str">
            <v>AGR-CEREAL-066</v>
          </cell>
          <cell r="F16" t="str">
            <v>H</v>
          </cell>
        </row>
        <row r="17">
          <cell r="E17" t="str">
            <v>AGR-CEREAL-051</v>
          </cell>
          <cell r="F17" t="str">
            <v>F</v>
          </cell>
        </row>
        <row r="18">
          <cell r="E18" t="str">
            <v>AGR-CEREAL-048</v>
          </cell>
          <cell r="F18" t="str">
            <v>F</v>
          </cell>
        </row>
        <row r="19">
          <cell r="E19" t="str">
            <v>AGR-CEREAL-039</v>
          </cell>
          <cell r="F19" t="str">
            <v>D</v>
          </cell>
        </row>
        <row r="20">
          <cell r="E20" t="str">
            <v>AGR-CEREAL-071</v>
          </cell>
          <cell r="F20" t="str">
            <v>H</v>
          </cell>
        </row>
        <row r="21">
          <cell r="E21" t="str">
            <v>AGR-CEREAL-020</v>
          </cell>
          <cell r="F21" t="str">
            <v>C</v>
          </cell>
        </row>
        <row r="22">
          <cell r="E22" t="str">
            <v>AGR-CEREAL-061</v>
          </cell>
          <cell r="F22" t="str">
            <v>G</v>
          </cell>
        </row>
        <row r="23">
          <cell r="E23" t="str">
            <v>AGR-CEREAL-049</v>
          </cell>
          <cell r="F23" t="str">
            <v>F</v>
          </cell>
        </row>
        <row r="24">
          <cell r="E24" t="str">
            <v>AGR-CEREAL-076</v>
          </cell>
          <cell r="F24" t="str">
            <v>I</v>
          </cell>
        </row>
        <row r="25">
          <cell r="E25" t="str">
            <v>AGR-CEREAL-024</v>
          </cell>
          <cell r="F25" t="str">
            <v>C</v>
          </cell>
        </row>
        <row r="26">
          <cell r="E26" t="str">
            <v>AGR-CEREAL-024</v>
          </cell>
          <cell r="F26" t="str">
            <v>C</v>
          </cell>
        </row>
        <row r="27">
          <cell r="E27" t="str">
            <v>AGR-CEREAL-069</v>
          </cell>
          <cell r="F27" t="str">
            <v>H</v>
          </cell>
        </row>
        <row r="28">
          <cell r="E28" t="str">
            <v>AGR-CEREAL-078</v>
          </cell>
          <cell r="F28" t="str">
            <v>I</v>
          </cell>
        </row>
        <row r="29">
          <cell r="E29" t="str">
            <v>AGR-CEREAL-076</v>
          </cell>
          <cell r="F29" t="str">
            <v>I</v>
          </cell>
        </row>
        <row r="30">
          <cell r="E30" t="str">
            <v>AGR-CEREAL-020</v>
          </cell>
          <cell r="F30" t="str">
            <v>C</v>
          </cell>
        </row>
        <row r="31">
          <cell r="E31" t="str">
            <v>AGR-CEREAL-071</v>
          </cell>
          <cell r="F31" t="str">
            <v>H</v>
          </cell>
        </row>
        <row r="32">
          <cell r="E32" t="str">
            <v>AGR-CEREAL-001</v>
          </cell>
          <cell r="F32" t="str">
            <v>A</v>
          </cell>
        </row>
        <row r="33">
          <cell r="E33" t="str">
            <v>AGR-CEREAL-072</v>
          </cell>
          <cell r="F33" t="str">
            <v>I</v>
          </cell>
        </row>
        <row r="34">
          <cell r="E34" t="str">
            <v>AGR-CEREAL-044</v>
          </cell>
          <cell r="F34" t="str">
            <v>E</v>
          </cell>
        </row>
        <row r="35">
          <cell r="E35" t="str">
            <v>AGR-CEREAL-018</v>
          </cell>
          <cell r="F35" t="str">
            <v>B</v>
          </cell>
        </row>
        <row r="36">
          <cell r="E36" t="str">
            <v>AGR-CEREAL-049</v>
          </cell>
          <cell r="F36" t="str">
            <v>F</v>
          </cell>
        </row>
        <row r="37">
          <cell r="E37" t="str">
            <v>AGR-CEREAL-031</v>
          </cell>
          <cell r="F37" t="str">
            <v>D</v>
          </cell>
        </row>
        <row r="38">
          <cell r="E38" t="str">
            <v>AGR-CEREAL-043</v>
          </cell>
          <cell r="F38" t="str">
            <v>E</v>
          </cell>
        </row>
        <row r="39">
          <cell r="E39" t="str">
            <v>AGR-CEREAL-057</v>
          </cell>
          <cell r="F39" t="str">
            <v>G</v>
          </cell>
        </row>
        <row r="40">
          <cell r="E40" t="str">
            <v>AGR-CEREAL-074</v>
          </cell>
          <cell r="F40" t="str">
            <v>I</v>
          </cell>
        </row>
        <row r="41">
          <cell r="E41" t="str">
            <v>AGR-CEREAL-014</v>
          </cell>
          <cell r="F41" t="str">
            <v>B</v>
          </cell>
        </row>
        <row r="42">
          <cell r="E42" t="str">
            <v>AGR-CEREAL-005</v>
          </cell>
          <cell r="F42" t="str">
            <v>A</v>
          </cell>
        </row>
        <row r="43">
          <cell r="E43" t="str">
            <v>AGR-CEREAL-055</v>
          </cell>
          <cell r="F43" t="str">
            <v>F</v>
          </cell>
        </row>
        <row r="44">
          <cell r="E44" t="str">
            <v>AGR-CEREAL-047</v>
          </cell>
          <cell r="F44" t="str">
            <v>E</v>
          </cell>
        </row>
        <row r="45">
          <cell r="E45" t="str">
            <v>AGR-CEREAL-050</v>
          </cell>
          <cell r="F45" t="str">
            <v>F</v>
          </cell>
        </row>
        <row r="46">
          <cell r="E46" t="str">
            <v>AGR-CEREAL-052</v>
          </cell>
          <cell r="F46" t="str">
            <v>F</v>
          </cell>
        </row>
        <row r="47">
          <cell r="E47" t="str">
            <v>AGR-CEREAL-058</v>
          </cell>
          <cell r="F47" t="str">
            <v>G</v>
          </cell>
        </row>
        <row r="48">
          <cell r="E48" t="str">
            <v>AGR-CEREAL-061</v>
          </cell>
          <cell r="F48" t="str">
            <v>G</v>
          </cell>
        </row>
        <row r="49">
          <cell r="E49" t="str">
            <v>AGR-CEREAL-060</v>
          </cell>
          <cell r="F49" t="str">
            <v>G</v>
          </cell>
        </row>
        <row r="50">
          <cell r="E50" t="str">
            <v>AGR-CEREAL-059</v>
          </cell>
          <cell r="F50" t="str">
            <v>G</v>
          </cell>
        </row>
        <row r="51">
          <cell r="E51" t="str">
            <v>AGR-CEREAL-039</v>
          </cell>
          <cell r="F51" t="str">
            <v>D</v>
          </cell>
        </row>
        <row r="52">
          <cell r="E52" t="str">
            <v>AGR-CEREAL-041</v>
          </cell>
          <cell r="F52" t="str">
            <v>E</v>
          </cell>
        </row>
        <row r="53">
          <cell r="E53" t="str">
            <v>AGR-CEREAL-068</v>
          </cell>
          <cell r="F53" t="str">
            <v>H</v>
          </cell>
        </row>
        <row r="54">
          <cell r="E54" t="str">
            <v>AGR-CEREAL-048</v>
          </cell>
          <cell r="F54" t="str">
            <v>F</v>
          </cell>
        </row>
        <row r="55">
          <cell r="E55" t="str">
            <v>AGR-CEREAL-051</v>
          </cell>
          <cell r="F55" t="str">
            <v>F</v>
          </cell>
        </row>
        <row r="56">
          <cell r="E56" t="str">
            <v>AGR-CEREAL-070</v>
          </cell>
          <cell r="F56" t="str">
            <v>H</v>
          </cell>
        </row>
        <row r="57">
          <cell r="E57" t="str">
            <v>AGR-CEREAL-078</v>
          </cell>
          <cell r="F57" t="str">
            <v>I</v>
          </cell>
        </row>
        <row r="58">
          <cell r="E58" t="str">
            <v>AGR-CEREAL-077</v>
          </cell>
          <cell r="F58" t="str">
            <v>I</v>
          </cell>
        </row>
        <row r="59">
          <cell r="E59" t="str">
            <v>AGR-CEREAL-026</v>
          </cell>
          <cell r="F59" t="str">
            <v>C</v>
          </cell>
        </row>
        <row r="60">
          <cell r="E60" t="str">
            <v>AGR-CEREAL-038</v>
          </cell>
          <cell r="F60" t="str">
            <v>D</v>
          </cell>
        </row>
        <row r="61">
          <cell r="E61" t="str">
            <v>AGR-CEREAL-066</v>
          </cell>
          <cell r="F61" t="str">
            <v>H</v>
          </cell>
        </row>
        <row r="62">
          <cell r="E62" t="str">
            <v>AGR-CEREAL-054</v>
          </cell>
          <cell r="F62" t="str">
            <v>F</v>
          </cell>
        </row>
        <row r="63">
          <cell r="E63" t="str">
            <v>AGR-CEREAL-033</v>
          </cell>
          <cell r="F63" t="str">
            <v>D</v>
          </cell>
        </row>
        <row r="64">
          <cell r="E64" t="str">
            <v>AGR-CEREAL-004</v>
          </cell>
          <cell r="F64" t="str">
            <v>A</v>
          </cell>
        </row>
        <row r="65">
          <cell r="E65" t="str">
            <v>AGR-CEREAL-059</v>
          </cell>
          <cell r="F65" t="str">
            <v>G</v>
          </cell>
        </row>
        <row r="66">
          <cell r="E66" t="str">
            <v>AGR-CEREAL-031</v>
          </cell>
          <cell r="F66" t="str">
            <v>D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589AA-959F-4B2B-8E4E-F285425496ED}" name="InitialBacklog" displayName="InitialBacklog" ref="A1:K81" headerRowDxfId="14" dataDxfId="13" totalsRowDxfId="12">
  <autoFilter ref="A1:K81" xr:uid="{00000000-0009-0000-0100-000006000000}"/>
  <tableColumns count="11">
    <tableColumn id="1" xr3:uid="{A6A57338-0204-447E-AB74-38C86B024C91}" name="Idea ID" dataDxfId="11"/>
    <tableColumn id="2" xr3:uid="{7592E328-57C2-4F84-9EA2-500EB0BE8ABA}" name="Stage" dataDxfId="10"/>
    <tableColumn id="3" xr3:uid="{29EF670E-6060-4A20-94AC-C19BA9CB6D09}" name="Primary user(s)" dataDxfId="9"/>
    <tableColumn id="4" xr3:uid="{8688DF04-C27A-4DEE-877D-DCE9C27DA131}" name="Sub-domain" dataDxfId="8"/>
    <tableColumn id="5" xr3:uid="{54E276CA-8E5D-42C9-A6F6-B920BD7F4AC5}" name="Description" dataDxfId="7"/>
    <tableColumn id="6" xr3:uid="{49857D6C-227B-44B0-B790-BB12E307CD60}" name="AI Mode" dataDxfId="6"/>
    <tableColumn id="7" xr3:uid="{001E3C06-3B3E-4326-9524-6766BEC8CC03}" name="Actionability" dataDxfId="5"/>
    <tableColumn id="8" xr3:uid="{3889D763-D525-447E-B7E7-61B2436302B6}" name="KPIs" dataDxfId="4"/>
    <tableColumn id="9" xr3:uid="{D6D41132-B1EE-419C-93B7-CFAA1B59652C}" name="Risks" dataDxfId="3"/>
    <tableColumn id="10" xr3:uid="{F5610AEB-BF8B-45B9-89C0-4B919EB5D346}" name="Integrations / data sources" dataDxfId="2"/>
    <tableColumn id="11" xr3:uid="{2A147B3B-FD69-4BE9-8D75-944C260FB6C0}" name="Column1" dataDxfId="0" totalsRowDxfId="1">
      <calculatedColumnFormula>VLOOKUP(InitialBacklog[[#This Row],[Idea ID]],'[1]Idea Details (mapped)'!E:F,2,0)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6DD3-957C-400F-8484-867C0F523603}">
  <dimension ref="A1:K8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6.54296875" customWidth="1"/>
    <col min="3" max="3" width="19.7265625" customWidth="1"/>
    <col min="4" max="4" width="28" customWidth="1"/>
    <col min="5" max="5" width="75" customWidth="1"/>
    <col min="6" max="6" width="14.7265625" customWidth="1"/>
    <col min="7" max="7" width="14" customWidth="1"/>
    <col min="8" max="10" width="18.8164062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87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tr">
        <f>VLOOKUP(InitialBacklog[[#This Row],[Idea ID]],'[1]Idea Details (mapped)'!E:F,2,0)</f>
        <v>A</v>
      </c>
    </row>
    <row r="3" spans="1:11" ht="87" x14ac:dyDescent="0.35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28</v>
      </c>
      <c r="K3" s="2" t="e">
        <f>VLOOKUP(InitialBacklog[[#This Row],[Idea ID]],'[1]Idea Details (mapped)'!E:F,2,0)</f>
        <v>#N/A</v>
      </c>
    </row>
    <row r="4" spans="1:11" ht="72.5" x14ac:dyDescent="0.35">
      <c r="A4" s="2" t="s">
        <v>29</v>
      </c>
      <c r="B4" s="2" t="s">
        <v>12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17</v>
      </c>
      <c r="H4" s="2" t="s">
        <v>34</v>
      </c>
      <c r="I4" s="2" t="s">
        <v>35</v>
      </c>
      <c r="J4" s="2" t="s">
        <v>36</v>
      </c>
      <c r="K4" s="2" t="e">
        <f>VLOOKUP(InitialBacklog[[#This Row],[Idea ID]],'[1]Idea Details (mapped)'!E:F,2,0)</f>
        <v>#N/A</v>
      </c>
    </row>
    <row r="5" spans="1:11" ht="72.5" x14ac:dyDescent="0.35">
      <c r="A5" s="2" t="s">
        <v>37</v>
      </c>
      <c r="B5" s="2" t="s">
        <v>12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tr">
        <f>VLOOKUP(InitialBacklog[[#This Row],[Idea ID]],'[1]Idea Details (mapped)'!E:F,2,0)</f>
        <v>A</v>
      </c>
    </row>
    <row r="6" spans="1:11" ht="72.5" x14ac:dyDescent="0.35">
      <c r="A6" s="2" t="s">
        <v>46</v>
      </c>
      <c r="B6" s="2" t="s">
        <v>12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42</v>
      </c>
      <c r="H6" s="2" t="s">
        <v>51</v>
      </c>
      <c r="I6" s="2" t="s">
        <v>52</v>
      </c>
      <c r="J6" s="2" t="s">
        <v>53</v>
      </c>
      <c r="K6" s="2" t="str">
        <f>VLOOKUP(InitialBacklog[[#This Row],[Idea ID]],'[1]Idea Details (mapped)'!E:F,2,0)</f>
        <v>A</v>
      </c>
    </row>
    <row r="7" spans="1:11" ht="72.5" x14ac:dyDescent="0.35">
      <c r="A7" s="2" t="s">
        <v>54</v>
      </c>
      <c r="B7" s="2" t="s">
        <v>12</v>
      </c>
      <c r="C7" s="2" t="s">
        <v>55</v>
      </c>
      <c r="D7" s="2" t="s">
        <v>56</v>
      </c>
      <c r="E7" s="2" t="s">
        <v>57</v>
      </c>
      <c r="F7" s="2" t="s">
        <v>41</v>
      </c>
      <c r="G7" s="2" t="s">
        <v>42</v>
      </c>
      <c r="H7" s="2" t="s">
        <v>58</v>
      </c>
      <c r="I7" s="2" t="s">
        <v>59</v>
      </c>
      <c r="J7" s="2" t="s">
        <v>60</v>
      </c>
      <c r="K7" s="2" t="e">
        <f>VLOOKUP(InitialBacklog[[#This Row],[Idea ID]],'[1]Idea Details (mapped)'!E:F,2,0)</f>
        <v>#N/A</v>
      </c>
    </row>
    <row r="8" spans="1:11" ht="72.5" x14ac:dyDescent="0.35">
      <c r="A8" s="2" t="s">
        <v>61</v>
      </c>
      <c r="B8" s="2" t="s">
        <v>12</v>
      </c>
      <c r="C8" s="2" t="s">
        <v>62</v>
      </c>
      <c r="D8" s="2" t="s">
        <v>63</v>
      </c>
      <c r="E8" s="2" t="s">
        <v>64</v>
      </c>
      <c r="F8" s="2" t="s">
        <v>16</v>
      </c>
      <c r="G8" s="2" t="s">
        <v>17</v>
      </c>
      <c r="H8" s="2" t="s">
        <v>65</v>
      </c>
      <c r="I8" s="2" t="s">
        <v>66</v>
      </c>
      <c r="J8" s="2" t="s">
        <v>67</v>
      </c>
      <c r="K8" s="2" t="e">
        <f>VLOOKUP(InitialBacklog[[#This Row],[Idea ID]],'[1]Idea Details (mapped)'!E:F,2,0)</f>
        <v>#N/A</v>
      </c>
    </row>
    <row r="9" spans="1:11" ht="72.5" x14ac:dyDescent="0.35">
      <c r="A9" s="2" t="s">
        <v>68</v>
      </c>
      <c r="B9" s="2" t="s">
        <v>12</v>
      </c>
      <c r="C9" s="2" t="s">
        <v>22</v>
      </c>
      <c r="D9" s="2" t="s">
        <v>69</v>
      </c>
      <c r="E9" s="2" t="s">
        <v>70</v>
      </c>
      <c r="F9" s="2" t="s">
        <v>33</v>
      </c>
      <c r="G9" s="2" t="s">
        <v>17</v>
      </c>
      <c r="H9" s="2" t="s">
        <v>71</v>
      </c>
      <c r="I9" s="2" t="s">
        <v>72</v>
      </c>
      <c r="J9" s="2" t="s">
        <v>73</v>
      </c>
      <c r="K9" s="2" t="e">
        <f>VLOOKUP(InitialBacklog[[#This Row],[Idea ID]],'[1]Idea Details (mapped)'!E:F,2,0)</f>
        <v>#N/A</v>
      </c>
    </row>
    <row r="10" spans="1:11" ht="72.5" x14ac:dyDescent="0.35">
      <c r="A10" s="2" t="s">
        <v>74</v>
      </c>
      <c r="B10" s="2" t="s">
        <v>12</v>
      </c>
      <c r="C10" s="2" t="s">
        <v>75</v>
      </c>
      <c r="D10" s="2" t="s">
        <v>76</v>
      </c>
      <c r="E10" s="2" t="s">
        <v>77</v>
      </c>
      <c r="F10" s="2" t="s">
        <v>33</v>
      </c>
      <c r="G10" s="2" t="s">
        <v>17</v>
      </c>
      <c r="H10" s="2" t="s">
        <v>78</v>
      </c>
      <c r="I10" s="2" t="s">
        <v>79</v>
      </c>
      <c r="J10" s="2" t="s">
        <v>80</v>
      </c>
      <c r="K10" s="2" t="str">
        <f>VLOOKUP(InitialBacklog[[#This Row],[Idea ID]],'[1]Idea Details (mapped)'!E:F,2,0)</f>
        <v>A</v>
      </c>
    </row>
    <row r="11" spans="1:11" ht="72.5" x14ac:dyDescent="0.35">
      <c r="A11" s="2" t="s">
        <v>81</v>
      </c>
      <c r="B11" s="2" t="s">
        <v>12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42</v>
      </c>
      <c r="H11" s="2" t="s">
        <v>86</v>
      </c>
      <c r="I11" s="2" t="s">
        <v>87</v>
      </c>
      <c r="J11" s="2" t="s">
        <v>88</v>
      </c>
      <c r="K11" s="2" t="str">
        <f>VLOOKUP(InitialBacklog[[#This Row],[Idea ID]],'[1]Idea Details (mapped)'!E:F,2,0)</f>
        <v>A</v>
      </c>
    </row>
    <row r="12" spans="1:11" ht="72.5" x14ac:dyDescent="0.35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50</v>
      </c>
      <c r="G12" s="2" t="s">
        <v>17</v>
      </c>
      <c r="H12" s="2" t="s">
        <v>94</v>
      </c>
      <c r="I12" s="2" t="s">
        <v>95</v>
      </c>
      <c r="J12" s="2" t="s">
        <v>96</v>
      </c>
      <c r="K12" s="2" t="e">
        <f>VLOOKUP(InitialBacklog[[#This Row],[Idea ID]],'[1]Idea Details (mapped)'!E:F,2,0)</f>
        <v>#N/A</v>
      </c>
    </row>
    <row r="13" spans="1:11" ht="72.5" x14ac:dyDescent="0.35">
      <c r="A13" s="2" t="s">
        <v>97</v>
      </c>
      <c r="B13" s="2" t="s">
        <v>90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17</v>
      </c>
      <c r="H13" s="2" t="s">
        <v>102</v>
      </c>
      <c r="I13" s="2" t="s">
        <v>103</v>
      </c>
      <c r="J13" s="2" t="s">
        <v>104</v>
      </c>
      <c r="K13" s="2" t="e">
        <f>VLOOKUP(InitialBacklog[[#This Row],[Idea ID]],'[1]Idea Details (mapped)'!E:F,2,0)</f>
        <v>#N/A</v>
      </c>
    </row>
    <row r="14" spans="1:11" ht="72.5" x14ac:dyDescent="0.35">
      <c r="A14" s="2" t="s">
        <v>105</v>
      </c>
      <c r="B14" s="2" t="s">
        <v>90</v>
      </c>
      <c r="C14" s="2" t="s">
        <v>106</v>
      </c>
      <c r="D14" s="2" t="s">
        <v>107</v>
      </c>
      <c r="E14" s="2" t="s">
        <v>108</v>
      </c>
      <c r="F14" s="2" t="s">
        <v>41</v>
      </c>
      <c r="G14" s="2" t="s">
        <v>42</v>
      </c>
      <c r="H14" s="2" t="s">
        <v>109</v>
      </c>
      <c r="I14" s="2" t="s">
        <v>110</v>
      </c>
      <c r="J14" s="2" t="s">
        <v>111</v>
      </c>
      <c r="K14" s="2" t="e">
        <f>VLOOKUP(InitialBacklog[[#This Row],[Idea ID]],'[1]Idea Details (mapped)'!E:F,2,0)</f>
        <v>#N/A</v>
      </c>
    </row>
    <row r="15" spans="1:11" ht="72.5" x14ac:dyDescent="0.35">
      <c r="A15" s="2" t="s">
        <v>112</v>
      </c>
      <c r="B15" s="2" t="s">
        <v>90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tr">
        <f>VLOOKUP(InitialBacklog[[#This Row],[Idea ID]],'[1]Idea Details (mapped)'!E:F,2,0)</f>
        <v>B</v>
      </c>
    </row>
    <row r="16" spans="1:11" ht="72.5" x14ac:dyDescent="0.35">
      <c r="A16" s="2" t="s">
        <v>121</v>
      </c>
      <c r="B16" s="2" t="s">
        <v>90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42</v>
      </c>
      <c r="H16" s="2" t="s">
        <v>126</v>
      </c>
      <c r="I16" s="2" t="s">
        <v>127</v>
      </c>
      <c r="J16" s="2" t="s">
        <v>128</v>
      </c>
      <c r="K16" s="2" t="e">
        <f>VLOOKUP(InitialBacklog[[#This Row],[Idea ID]],'[1]Idea Details (mapped)'!E:F,2,0)</f>
        <v>#N/A</v>
      </c>
    </row>
    <row r="17" spans="1:11" ht="72.5" x14ac:dyDescent="0.35">
      <c r="A17" s="2" t="s">
        <v>129</v>
      </c>
      <c r="B17" s="2" t="s">
        <v>90</v>
      </c>
      <c r="C17" s="2" t="s">
        <v>130</v>
      </c>
      <c r="D17" s="2" t="s">
        <v>131</v>
      </c>
      <c r="E17" s="2" t="s">
        <v>132</v>
      </c>
      <c r="F17" s="2" t="s">
        <v>25</v>
      </c>
      <c r="G17" s="2" t="s">
        <v>17</v>
      </c>
      <c r="H17" s="2" t="s">
        <v>133</v>
      </c>
      <c r="I17" s="2" t="s">
        <v>134</v>
      </c>
      <c r="J17" s="2" t="s">
        <v>135</v>
      </c>
      <c r="K17" s="2" t="e">
        <f>VLOOKUP(InitialBacklog[[#This Row],[Idea ID]],'[1]Idea Details (mapped)'!E:F,2,0)</f>
        <v>#N/A</v>
      </c>
    </row>
    <row r="18" spans="1:11" ht="72.5" x14ac:dyDescent="0.35">
      <c r="A18" s="2" t="s">
        <v>136</v>
      </c>
      <c r="B18" s="2" t="s">
        <v>90</v>
      </c>
      <c r="C18" s="2" t="s">
        <v>98</v>
      </c>
      <c r="D18" s="2" t="s">
        <v>137</v>
      </c>
      <c r="E18" s="2" t="s">
        <v>138</v>
      </c>
      <c r="F18" s="2" t="s">
        <v>139</v>
      </c>
      <c r="G18" s="2" t="s">
        <v>17</v>
      </c>
      <c r="H18" s="2" t="s">
        <v>140</v>
      </c>
      <c r="I18" s="2" t="s">
        <v>141</v>
      </c>
      <c r="J18" s="2" t="s">
        <v>142</v>
      </c>
      <c r="K18" s="2" t="e">
        <f>VLOOKUP(InitialBacklog[[#This Row],[Idea ID]],'[1]Idea Details (mapped)'!E:F,2,0)</f>
        <v>#N/A</v>
      </c>
    </row>
    <row r="19" spans="1:11" ht="72.5" x14ac:dyDescent="0.35">
      <c r="A19" s="2" t="s">
        <v>143</v>
      </c>
      <c r="B19" s="2" t="s">
        <v>90</v>
      </c>
      <c r="C19" s="2" t="s">
        <v>144</v>
      </c>
      <c r="D19" s="2" t="s">
        <v>145</v>
      </c>
      <c r="E19" s="2" t="s">
        <v>146</v>
      </c>
      <c r="F19" s="2" t="s">
        <v>25</v>
      </c>
      <c r="G19" s="2" t="s">
        <v>17</v>
      </c>
      <c r="H19" s="2" t="s">
        <v>147</v>
      </c>
      <c r="I19" s="2" t="s">
        <v>148</v>
      </c>
      <c r="J19" s="2" t="s">
        <v>149</v>
      </c>
      <c r="K19" s="2" t="str">
        <f>VLOOKUP(InitialBacklog[[#This Row],[Idea ID]],'[1]Idea Details (mapped)'!E:F,2,0)</f>
        <v>B</v>
      </c>
    </row>
    <row r="20" spans="1:11" ht="72.5" x14ac:dyDescent="0.35">
      <c r="A20" s="2" t="s">
        <v>150</v>
      </c>
      <c r="B20" s="2" t="s">
        <v>151</v>
      </c>
      <c r="C20" s="2" t="s">
        <v>152</v>
      </c>
      <c r="D20" s="2" t="s">
        <v>153</v>
      </c>
      <c r="E20" s="2" t="s">
        <v>154</v>
      </c>
      <c r="F20" s="2" t="s">
        <v>155</v>
      </c>
      <c r="G20" s="2" t="s">
        <v>117</v>
      </c>
      <c r="H20" s="2" t="s">
        <v>156</v>
      </c>
      <c r="I20" s="2" t="s">
        <v>157</v>
      </c>
      <c r="J20" s="2" t="s">
        <v>158</v>
      </c>
      <c r="K20" s="2" t="e">
        <f>VLOOKUP(InitialBacklog[[#This Row],[Idea ID]],'[1]Idea Details (mapped)'!E:F,2,0)</f>
        <v>#N/A</v>
      </c>
    </row>
    <row r="21" spans="1:11" ht="72.5" x14ac:dyDescent="0.35">
      <c r="A21" s="2" t="s">
        <v>159</v>
      </c>
      <c r="B21" s="2" t="s">
        <v>151</v>
      </c>
      <c r="C21" s="2" t="s">
        <v>30</v>
      </c>
      <c r="D21" s="2" t="s">
        <v>160</v>
      </c>
      <c r="E21" s="2" t="s">
        <v>161</v>
      </c>
      <c r="F21" s="2" t="s">
        <v>139</v>
      </c>
      <c r="G21" s="2" t="s">
        <v>17</v>
      </c>
      <c r="H21" s="2" t="s">
        <v>162</v>
      </c>
      <c r="I21" s="2" t="s">
        <v>163</v>
      </c>
      <c r="J21" s="2" t="s">
        <v>164</v>
      </c>
      <c r="K21" s="2" t="str">
        <f>VLOOKUP(InitialBacklog[[#This Row],[Idea ID]],'[1]Idea Details (mapped)'!E:F,2,0)</f>
        <v>C</v>
      </c>
    </row>
    <row r="22" spans="1:11" ht="58" x14ac:dyDescent="0.35">
      <c r="A22" s="2" t="s">
        <v>165</v>
      </c>
      <c r="B22" s="2" t="s">
        <v>151</v>
      </c>
      <c r="C22" s="2" t="s">
        <v>166</v>
      </c>
      <c r="D22" s="2" t="s">
        <v>167</v>
      </c>
      <c r="E22" s="2" t="s">
        <v>168</v>
      </c>
      <c r="F22" s="2" t="s">
        <v>25</v>
      </c>
      <c r="G22" s="2" t="s">
        <v>17</v>
      </c>
      <c r="H22" s="2" t="s">
        <v>169</v>
      </c>
      <c r="I22" s="2" t="s">
        <v>170</v>
      </c>
      <c r="J22" s="2" t="s">
        <v>171</v>
      </c>
      <c r="K22" s="2" t="e">
        <f>VLOOKUP(InitialBacklog[[#This Row],[Idea ID]],'[1]Idea Details (mapped)'!E:F,2,0)</f>
        <v>#N/A</v>
      </c>
    </row>
    <row r="23" spans="1:11" ht="58" x14ac:dyDescent="0.35">
      <c r="A23" s="2" t="s">
        <v>172</v>
      </c>
      <c r="B23" s="2" t="s">
        <v>151</v>
      </c>
      <c r="C23" s="2" t="s">
        <v>30</v>
      </c>
      <c r="D23" s="2" t="s">
        <v>173</v>
      </c>
      <c r="E23" s="2" t="s">
        <v>174</v>
      </c>
      <c r="F23" s="2" t="s">
        <v>33</v>
      </c>
      <c r="G23" s="2" t="s">
        <v>17</v>
      </c>
      <c r="H23" s="2" t="s">
        <v>175</v>
      </c>
      <c r="I23" s="2" t="s">
        <v>176</v>
      </c>
      <c r="J23" s="2" t="s">
        <v>177</v>
      </c>
      <c r="K23" s="2" t="str">
        <f>VLOOKUP(InitialBacklog[[#This Row],[Idea ID]],'[1]Idea Details (mapped)'!E:F,2,0)</f>
        <v>C</v>
      </c>
    </row>
    <row r="24" spans="1:11" ht="72.5" x14ac:dyDescent="0.35">
      <c r="A24" s="2" t="s">
        <v>178</v>
      </c>
      <c r="B24" s="2" t="s">
        <v>151</v>
      </c>
      <c r="C24" s="2" t="s">
        <v>179</v>
      </c>
      <c r="D24" s="2" t="s">
        <v>180</v>
      </c>
      <c r="E24" s="2" t="s">
        <v>181</v>
      </c>
      <c r="F24" s="2" t="s">
        <v>50</v>
      </c>
      <c r="G24" s="2" t="s">
        <v>17</v>
      </c>
      <c r="H24" s="2" t="s">
        <v>182</v>
      </c>
      <c r="I24" s="2" t="s">
        <v>183</v>
      </c>
      <c r="J24" s="2" t="s">
        <v>184</v>
      </c>
      <c r="K24" s="2" t="e">
        <f>VLOOKUP(InitialBacklog[[#This Row],[Idea ID]],'[1]Idea Details (mapped)'!E:F,2,0)</f>
        <v>#N/A</v>
      </c>
    </row>
    <row r="25" spans="1:11" ht="72.5" x14ac:dyDescent="0.35">
      <c r="A25" s="2" t="s">
        <v>185</v>
      </c>
      <c r="B25" s="2" t="s">
        <v>151</v>
      </c>
      <c r="C25" s="2" t="s">
        <v>186</v>
      </c>
      <c r="D25" s="2" t="s">
        <v>187</v>
      </c>
      <c r="E25" s="2" t="s">
        <v>188</v>
      </c>
      <c r="F25" s="2" t="s">
        <v>189</v>
      </c>
      <c r="G25" s="2" t="s">
        <v>117</v>
      </c>
      <c r="H25" s="2" t="s">
        <v>190</v>
      </c>
      <c r="I25" s="2" t="s">
        <v>191</v>
      </c>
      <c r="J25" s="2" t="s">
        <v>192</v>
      </c>
      <c r="K25" s="2" t="str">
        <f>VLOOKUP(InitialBacklog[[#This Row],[Idea ID]],'[1]Idea Details (mapped)'!E:F,2,0)</f>
        <v>C</v>
      </c>
    </row>
    <row r="26" spans="1:11" ht="58" x14ac:dyDescent="0.35">
      <c r="A26" s="2" t="s">
        <v>193</v>
      </c>
      <c r="B26" s="2" t="s">
        <v>151</v>
      </c>
      <c r="C26" s="2" t="s">
        <v>22</v>
      </c>
      <c r="D26" s="2" t="s">
        <v>194</v>
      </c>
      <c r="E26" s="2" t="s">
        <v>195</v>
      </c>
      <c r="F26" s="2" t="s">
        <v>196</v>
      </c>
      <c r="G26" s="2" t="s">
        <v>42</v>
      </c>
      <c r="H26" s="2" t="s">
        <v>197</v>
      </c>
      <c r="I26" s="2" t="s">
        <v>198</v>
      </c>
      <c r="J26" s="2" t="s">
        <v>199</v>
      </c>
      <c r="K26" s="2" t="e">
        <f>VLOOKUP(InitialBacklog[[#This Row],[Idea ID]],'[1]Idea Details (mapped)'!E:F,2,0)</f>
        <v>#N/A</v>
      </c>
    </row>
    <row r="27" spans="1:11" ht="58" x14ac:dyDescent="0.35">
      <c r="A27" s="2" t="s">
        <v>200</v>
      </c>
      <c r="B27" s="2" t="s">
        <v>151</v>
      </c>
      <c r="C27" s="2" t="s">
        <v>179</v>
      </c>
      <c r="D27" s="2" t="s">
        <v>201</v>
      </c>
      <c r="E27" s="2" t="s">
        <v>202</v>
      </c>
      <c r="F27" s="2" t="s">
        <v>203</v>
      </c>
      <c r="G27" s="2" t="s">
        <v>42</v>
      </c>
      <c r="H27" s="2" t="s">
        <v>204</v>
      </c>
      <c r="I27" s="2" t="s">
        <v>205</v>
      </c>
      <c r="J27" s="2" t="s">
        <v>206</v>
      </c>
      <c r="K27" s="2" t="str">
        <f>VLOOKUP(InitialBacklog[[#This Row],[Idea ID]],'[1]Idea Details (mapped)'!E:F,2,0)</f>
        <v>C</v>
      </c>
    </row>
    <row r="28" spans="1:11" ht="72.5" x14ac:dyDescent="0.35">
      <c r="A28" s="2" t="s">
        <v>207</v>
      </c>
      <c r="B28" s="2" t="s">
        <v>151</v>
      </c>
      <c r="C28" s="2" t="s">
        <v>208</v>
      </c>
      <c r="D28" s="2" t="s">
        <v>209</v>
      </c>
      <c r="E28" s="2" t="s">
        <v>210</v>
      </c>
      <c r="F28" s="2" t="s">
        <v>211</v>
      </c>
      <c r="G28" s="2" t="s">
        <v>17</v>
      </c>
      <c r="H28" s="2" t="s">
        <v>212</v>
      </c>
      <c r="I28" s="2" t="s">
        <v>213</v>
      </c>
      <c r="J28" s="2" t="s">
        <v>214</v>
      </c>
      <c r="K28" s="2" t="e">
        <f>VLOOKUP(InitialBacklog[[#This Row],[Idea ID]],'[1]Idea Details (mapped)'!E:F,2,0)</f>
        <v>#N/A</v>
      </c>
    </row>
    <row r="29" spans="1:11" ht="72.5" x14ac:dyDescent="0.35">
      <c r="A29" s="2" t="s">
        <v>215</v>
      </c>
      <c r="B29" s="2" t="s">
        <v>216</v>
      </c>
      <c r="C29" s="2" t="s">
        <v>22</v>
      </c>
      <c r="D29" s="2" t="s">
        <v>217</v>
      </c>
      <c r="E29" s="2" t="s">
        <v>218</v>
      </c>
      <c r="F29" s="2" t="s">
        <v>219</v>
      </c>
      <c r="G29" s="2" t="s">
        <v>17</v>
      </c>
      <c r="H29" s="2" t="s">
        <v>220</v>
      </c>
      <c r="I29" s="2" t="s">
        <v>221</v>
      </c>
      <c r="J29" s="2" t="s">
        <v>222</v>
      </c>
      <c r="K29" s="2" t="e">
        <f>VLOOKUP(InitialBacklog[[#This Row],[Idea ID]],'[1]Idea Details (mapped)'!E:F,2,0)</f>
        <v>#N/A</v>
      </c>
    </row>
    <row r="30" spans="1:11" ht="72.5" x14ac:dyDescent="0.35">
      <c r="A30" s="2" t="s">
        <v>223</v>
      </c>
      <c r="B30" s="2" t="s">
        <v>216</v>
      </c>
      <c r="C30" s="2" t="s">
        <v>224</v>
      </c>
      <c r="D30" s="2" t="s">
        <v>225</v>
      </c>
      <c r="E30" s="2" t="s">
        <v>226</v>
      </c>
      <c r="F30" s="2" t="s">
        <v>196</v>
      </c>
      <c r="G30" s="2" t="s">
        <v>17</v>
      </c>
      <c r="H30" s="2" t="s">
        <v>227</v>
      </c>
      <c r="I30" s="2" t="s">
        <v>228</v>
      </c>
      <c r="J30" s="2" t="s">
        <v>229</v>
      </c>
      <c r="K30" s="2" t="e">
        <f>VLOOKUP(InitialBacklog[[#This Row],[Idea ID]],'[1]Idea Details (mapped)'!E:F,2,0)</f>
        <v>#N/A</v>
      </c>
    </row>
    <row r="31" spans="1:11" ht="72.5" x14ac:dyDescent="0.35">
      <c r="A31" s="2" t="s">
        <v>230</v>
      </c>
      <c r="B31" s="2" t="s">
        <v>216</v>
      </c>
      <c r="C31" s="2" t="s">
        <v>231</v>
      </c>
      <c r="D31" s="2" t="s">
        <v>232</v>
      </c>
      <c r="E31" s="2" t="s">
        <v>233</v>
      </c>
      <c r="F31" s="2" t="s">
        <v>25</v>
      </c>
      <c r="G31" s="2" t="s">
        <v>117</v>
      </c>
      <c r="H31" s="2" t="s">
        <v>234</v>
      </c>
      <c r="I31" s="2" t="s">
        <v>235</v>
      </c>
      <c r="J31" s="2" t="s">
        <v>236</v>
      </c>
      <c r="K31" s="2" t="e">
        <f>VLOOKUP(InitialBacklog[[#This Row],[Idea ID]],'[1]Idea Details (mapped)'!E:F,2,0)</f>
        <v>#N/A</v>
      </c>
    </row>
    <row r="32" spans="1:11" ht="72.5" x14ac:dyDescent="0.35">
      <c r="A32" s="2" t="s">
        <v>237</v>
      </c>
      <c r="B32" s="2" t="s">
        <v>216</v>
      </c>
      <c r="C32" s="2" t="s">
        <v>22</v>
      </c>
      <c r="D32" s="2" t="s">
        <v>238</v>
      </c>
      <c r="E32" s="2" t="s">
        <v>239</v>
      </c>
      <c r="F32" s="2" t="s">
        <v>240</v>
      </c>
      <c r="G32" s="2" t="s">
        <v>17</v>
      </c>
      <c r="H32" s="2" t="s">
        <v>241</v>
      </c>
      <c r="I32" s="2" t="s">
        <v>242</v>
      </c>
      <c r="J32" s="2" t="s">
        <v>243</v>
      </c>
      <c r="K32" s="2" t="str">
        <f>VLOOKUP(InitialBacklog[[#This Row],[Idea ID]],'[1]Idea Details (mapped)'!E:F,2,0)</f>
        <v>D</v>
      </c>
    </row>
    <row r="33" spans="1:11" ht="58" x14ac:dyDescent="0.35">
      <c r="A33" s="2" t="s">
        <v>244</v>
      </c>
      <c r="B33" s="2" t="s">
        <v>216</v>
      </c>
      <c r="C33" s="2" t="s">
        <v>30</v>
      </c>
      <c r="D33" s="2" t="s">
        <v>245</v>
      </c>
      <c r="E33" s="2" t="s">
        <v>246</v>
      </c>
      <c r="F33" s="2" t="s">
        <v>33</v>
      </c>
      <c r="G33" s="2" t="s">
        <v>17</v>
      </c>
      <c r="H33" s="2" t="s">
        <v>247</v>
      </c>
      <c r="I33" s="2" t="s">
        <v>248</v>
      </c>
      <c r="J33" s="2" t="s">
        <v>249</v>
      </c>
      <c r="K33" s="2" t="e">
        <f>VLOOKUP(InitialBacklog[[#This Row],[Idea ID]],'[1]Idea Details (mapped)'!E:F,2,0)</f>
        <v>#N/A</v>
      </c>
    </row>
    <row r="34" spans="1:11" ht="72.5" x14ac:dyDescent="0.35">
      <c r="A34" s="2" t="s">
        <v>250</v>
      </c>
      <c r="B34" s="2" t="s">
        <v>216</v>
      </c>
      <c r="C34" s="2" t="s">
        <v>251</v>
      </c>
      <c r="D34" s="2" t="s">
        <v>252</v>
      </c>
      <c r="E34" s="2" t="s">
        <v>253</v>
      </c>
      <c r="F34" s="2" t="s">
        <v>254</v>
      </c>
      <c r="G34" s="2" t="s">
        <v>17</v>
      </c>
      <c r="H34" s="2" t="s">
        <v>255</v>
      </c>
      <c r="I34" s="2" t="s">
        <v>256</v>
      </c>
      <c r="J34" s="2" t="s">
        <v>257</v>
      </c>
      <c r="K34" s="2" t="str">
        <f>VLOOKUP(InitialBacklog[[#This Row],[Idea ID]],'[1]Idea Details (mapped)'!E:F,2,0)</f>
        <v>D</v>
      </c>
    </row>
    <row r="35" spans="1:11" ht="72.5" x14ac:dyDescent="0.35">
      <c r="A35" s="2" t="s">
        <v>258</v>
      </c>
      <c r="B35" s="2" t="s">
        <v>216</v>
      </c>
      <c r="C35" s="2" t="s">
        <v>75</v>
      </c>
      <c r="D35" s="2" t="s">
        <v>259</v>
      </c>
      <c r="E35" s="2" t="s">
        <v>260</v>
      </c>
      <c r="F35" s="2" t="s">
        <v>261</v>
      </c>
      <c r="G35" s="2" t="s">
        <v>17</v>
      </c>
      <c r="H35" s="2" t="s">
        <v>262</v>
      </c>
      <c r="I35" s="2" t="s">
        <v>263</v>
      </c>
      <c r="J35" s="2" t="s">
        <v>264</v>
      </c>
      <c r="K35" s="2" t="e">
        <f>VLOOKUP(InitialBacklog[[#This Row],[Idea ID]],'[1]Idea Details (mapped)'!E:F,2,0)</f>
        <v>#N/A</v>
      </c>
    </row>
    <row r="36" spans="1:11" ht="58" x14ac:dyDescent="0.35">
      <c r="A36" s="2" t="s">
        <v>265</v>
      </c>
      <c r="B36" s="2" t="s">
        <v>216</v>
      </c>
      <c r="C36" s="2" t="s">
        <v>22</v>
      </c>
      <c r="D36" s="2" t="s">
        <v>266</v>
      </c>
      <c r="E36" s="2" t="s">
        <v>267</v>
      </c>
      <c r="F36" s="2" t="s">
        <v>268</v>
      </c>
      <c r="G36" s="2" t="s">
        <v>42</v>
      </c>
      <c r="H36" s="2" t="s">
        <v>269</v>
      </c>
      <c r="I36" s="2" t="s">
        <v>270</v>
      </c>
      <c r="J36" s="2" t="s">
        <v>271</v>
      </c>
      <c r="K36" s="2" t="e">
        <f>VLOOKUP(InitialBacklog[[#This Row],[Idea ID]],'[1]Idea Details (mapped)'!E:F,2,0)</f>
        <v>#N/A</v>
      </c>
    </row>
    <row r="37" spans="1:11" ht="58" x14ac:dyDescent="0.35">
      <c r="A37" s="2" t="s">
        <v>272</v>
      </c>
      <c r="B37" s="2" t="s">
        <v>216</v>
      </c>
      <c r="C37" s="2" t="s">
        <v>273</v>
      </c>
      <c r="D37" s="2" t="s">
        <v>274</v>
      </c>
      <c r="E37" s="2" t="s">
        <v>275</v>
      </c>
      <c r="F37" s="2" t="s">
        <v>276</v>
      </c>
      <c r="G37" s="2" t="s">
        <v>17</v>
      </c>
      <c r="H37" s="2" t="s">
        <v>277</v>
      </c>
      <c r="I37" s="2" t="s">
        <v>278</v>
      </c>
      <c r="J37" s="2" t="s">
        <v>279</v>
      </c>
      <c r="K37" s="2" t="e">
        <f>VLOOKUP(InitialBacklog[[#This Row],[Idea ID]],'[1]Idea Details (mapped)'!E:F,2,0)</f>
        <v>#N/A</v>
      </c>
    </row>
    <row r="38" spans="1:11" ht="72.5" x14ac:dyDescent="0.35">
      <c r="A38" s="2" t="s">
        <v>280</v>
      </c>
      <c r="B38" s="2" t="s">
        <v>216</v>
      </c>
      <c r="C38" s="2" t="s">
        <v>281</v>
      </c>
      <c r="D38" s="2" t="s">
        <v>282</v>
      </c>
      <c r="E38" s="2" t="s">
        <v>283</v>
      </c>
      <c r="F38" s="2" t="s">
        <v>284</v>
      </c>
      <c r="G38" s="2" t="s">
        <v>42</v>
      </c>
      <c r="H38" s="2" t="s">
        <v>285</v>
      </c>
      <c r="I38" s="2" t="s">
        <v>286</v>
      </c>
      <c r="J38" s="2" t="s">
        <v>287</v>
      </c>
      <c r="K38" s="2" t="e">
        <f>VLOOKUP(InitialBacklog[[#This Row],[Idea ID]],'[1]Idea Details (mapped)'!E:F,2,0)</f>
        <v>#N/A</v>
      </c>
    </row>
    <row r="39" spans="1:11" ht="58" x14ac:dyDescent="0.35">
      <c r="A39" s="2" t="s">
        <v>288</v>
      </c>
      <c r="B39" s="2" t="s">
        <v>216</v>
      </c>
      <c r="C39" s="2" t="s">
        <v>30</v>
      </c>
      <c r="D39" s="2" t="s">
        <v>289</v>
      </c>
      <c r="E39" s="2" t="s">
        <v>290</v>
      </c>
      <c r="F39" s="2" t="s">
        <v>291</v>
      </c>
      <c r="G39" s="2" t="s">
        <v>42</v>
      </c>
      <c r="H39" s="2" t="s">
        <v>292</v>
      </c>
      <c r="I39" s="2" t="s">
        <v>293</v>
      </c>
      <c r="J39" s="2" t="s">
        <v>294</v>
      </c>
      <c r="K39" s="2" t="str">
        <f>VLOOKUP(InitialBacklog[[#This Row],[Idea ID]],'[1]Idea Details (mapped)'!E:F,2,0)</f>
        <v>D</v>
      </c>
    </row>
    <row r="40" spans="1:11" ht="72.5" x14ac:dyDescent="0.35">
      <c r="A40" s="2" t="s">
        <v>295</v>
      </c>
      <c r="B40" s="2" t="s">
        <v>216</v>
      </c>
      <c r="C40" s="2" t="s">
        <v>296</v>
      </c>
      <c r="D40" s="2" t="s">
        <v>297</v>
      </c>
      <c r="E40" s="2" t="s">
        <v>298</v>
      </c>
      <c r="F40" s="2" t="s">
        <v>299</v>
      </c>
      <c r="G40" s="2" t="s">
        <v>117</v>
      </c>
      <c r="H40" s="2" t="s">
        <v>300</v>
      </c>
      <c r="I40" s="2" t="s">
        <v>301</v>
      </c>
      <c r="J40" s="2" t="s">
        <v>302</v>
      </c>
      <c r="K40" s="2" t="str">
        <f>VLOOKUP(InitialBacklog[[#This Row],[Idea ID]],'[1]Idea Details (mapped)'!E:F,2,0)</f>
        <v>D</v>
      </c>
    </row>
    <row r="41" spans="1:11" ht="72.5" x14ac:dyDescent="0.35">
      <c r="A41" s="2" t="s">
        <v>303</v>
      </c>
      <c r="B41" s="2" t="s">
        <v>304</v>
      </c>
      <c r="C41" s="2" t="s">
        <v>305</v>
      </c>
      <c r="D41" s="2" t="s">
        <v>306</v>
      </c>
      <c r="E41" s="2" t="s">
        <v>307</v>
      </c>
      <c r="F41" s="2" t="s">
        <v>33</v>
      </c>
      <c r="G41" s="2" t="s">
        <v>17</v>
      </c>
      <c r="H41" s="2" t="s">
        <v>308</v>
      </c>
      <c r="I41" s="2" t="s">
        <v>309</v>
      </c>
      <c r="J41" s="2" t="s">
        <v>310</v>
      </c>
      <c r="K41" s="2" t="e">
        <f>VLOOKUP(InitialBacklog[[#This Row],[Idea ID]],'[1]Idea Details (mapped)'!E:F,2,0)</f>
        <v>#N/A</v>
      </c>
    </row>
    <row r="42" spans="1:11" ht="58" x14ac:dyDescent="0.35">
      <c r="A42" s="2" t="s">
        <v>311</v>
      </c>
      <c r="B42" s="2" t="s">
        <v>304</v>
      </c>
      <c r="C42" s="2" t="s">
        <v>312</v>
      </c>
      <c r="D42" s="2" t="s">
        <v>313</v>
      </c>
      <c r="E42" s="2" t="s">
        <v>314</v>
      </c>
      <c r="F42" s="2" t="s">
        <v>25</v>
      </c>
      <c r="G42" s="2" t="s">
        <v>17</v>
      </c>
      <c r="H42" s="2" t="s">
        <v>315</v>
      </c>
      <c r="I42" s="2" t="s">
        <v>316</v>
      </c>
      <c r="J42" s="2" t="s">
        <v>317</v>
      </c>
      <c r="K42" s="2" t="str">
        <f>VLOOKUP(InitialBacklog[[#This Row],[Idea ID]],'[1]Idea Details (mapped)'!E:F,2,0)</f>
        <v>E</v>
      </c>
    </row>
    <row r="43" spans="1:11" ht="58" x14ac:dyDescent="0.35">
      <c r="A43" s="2" t="s">
        <v>318</v>
      </c>
      <c r="B43" s="2" t="s">
        <v>304</v>
      </c>
      <c r="C43" s="2" t="s">
        <v>319</v>
      </c>
      <c r="D43" s="2" t="s">
        <v>320</v>
      </c>
      <c r="E43" s="2" t="s">
        <v>321</v>
      </c>
      <c r="F43" s="2" t="s">
        <v>322</v>
      </c>
      <c r="G43" s="2" t="s">
        <v>117</v>
      </c>
      <c r="H43" s="2" t="s">
        <v>323</v>
      </c>
      <c r="I43" s="2" t="s">
        <v>324</v>
      </c>
      <c r="J43" s="2" t="s">
        <v>325</v>
      </c>
      <c r="K43" s="2" t="e">
        <f>VLOOKUP(InitialBacklog[[#This Row],[Idea ID]],'[1]Idea Details (mapped)'!E:F,2,0)</f>
        <v>#N/A</v>
      </c>
    </row>
    <row r="44" spans="1:11" ht="72.5" x14ac:dyDescent="0.35">
      <c r="A44" s="2" t="s">
        <v>326</v>
      </c>
      <c r="B44" s="2" t="s">
        <v>304</v>
      </c>
      <c r="C44" s="2" t="s">
        <v>327</v>
      </c>
      <c r="D44" s="2" t="s">
        <v>328</v>
      </c>
      <c r="E44" s="2" t="s">
        <v>329</v>
      </c>
      <c r="F44" s="2" t="s">
        <v>330</v>
      </c>
      <c r="G44" s="2" t="s">
        <v>17</v>
      </c>
      <c r="H44" s="2" t="s">
        <v>331</v>
      </c>
      <c r="I44" s="2" t="s">
        <v>332</v>
      </c>
      <c r="J44" s="2" t="s">
        <v>333</v>
      </c>
      <c r="K44" s="2" t="str">
        <f>VLOOKUP(InitialBacklog[[#This Row],[Idea ID]],'[1]Idea Details (mapped)'!E:F,2,0)</f>
        <v>E</v>
      </c>
    </row>
    <row r="45" spans="1:11" ht="58" x14ac:dyDescent="0.35">
      <c r="A45" s="2" t="s">
        <v>334</v>
      </c>
      <c r="B45" s="2" t="s">
        <v>304</v>
      </c>
      <c r="C45" s="2" t="s">
        <v>30</v>
      </c>
      <c r="D45" s="2" t="s">
        <v>335</v>
      </c>
      <c r="E45" s="2" t="s">
        <v>336</v>
      </c>
      <c r="F45" s="2" t="s">
        <v>203</v>
      </c>
      <c r="G45" s="2" t="s">
        <v>17</v>
      </c>
      <c r="H45" s="2" t="s">
        <v>337</v>
      </c>
      <c r="I45" s="2" t="s">
        <v>338</v>
      </c>
      <c r="J45" s="2" t="s">
        <v>339</v>
      </c>
      <c r="K45" s="2" t="str">
        <f>VLOOKUP(InitialBacklog[[#This Row],[Idea ID]],'[1]Idea Details (mapped)'!E:F,2,0)</f>
        <v>E</v>
      </c>
    </row>
    <row r="46" spans="1:11" ht="72.5" x14ac:dyDescent="0.35">
      <c r="A46" s="2" t="s">
        <v>340</v>
      </c>
      <c r="B46" s="2" t="s">
        <v>304</v>
      </c>
      <c r="C46" s="2" t="s">
        <v>341</v>
      </c>
      <c r="D46" s="2" t="s">
        <v>342</v>
      </c>
      <c r="E46" s="2" t="s">
        <v>343</v>
      </c>
      <c r="F46" s="2" t="s">
        <v>344</v>
      </c>
      <c r="G46" s="2" t="s">
        <v>17</v>
      </c>
      <c r="H46" s="2" t="s">
        <v>345</v>
      </c>
      <c r="I46" s="2" t="s">
        <v>221</v>
      </c>
      <c r="J46" s="2" t="s">
        <v>346</v>
      </c>
      <c r="K46" s="2" t="e">
        <f>VLOOKUP(InitialBacklog[[#This Row],[Idea ID]],'[1]Idea Details (mapped)'!E:F,2,0)</f>
        <v>#N/A</v>
      </c>
    </row>
    <row r="47" spans="1:11" ht="58" x14ac:dyDescent="0.35">
      <c r="A47" s="2" t="s">
        <v>347</v>
      </c>
      <c r="B47" s="2" t="s">
        <v>304</v>
      </c>
      <c r="C47" s="2" t="s">
        <v>106</v>
      </c>
      <c r="D47" s="2" t="s">
        <v>348</v>
      </c>
      <c r="E47" s="2" t="s">
        <v>349</v>
      </c>
      <c r="F47" s="2" t="s">
        <v>350</v>
      </c>
      <c r="G47" s="2" t="s">
        <v>42</v>
      </c>
      <c r="H47" s="2" t="s">
        <v>351</v>
      </c>
      <c r="I47" s="2" t="s">
        <v>352</v>
      </c>
      <c r="J47" s="2" t="s">
        <v>353</v>
      </c>
      <c r="K47" s="2" t="e">
        <f>VLOOKUP(InitialBacklog[[#This Row],[Idea ID]],'[1]Idea Details (mapped)'!E:F,2,0)</f>
        <v>#N/A</v>
      </c>
    </row>
    <row r="48" spans="1:11" ht="72.5" x14ac:dyDescent="0.35">
      <c r="A48" s="2" t="s">
        <v>354</v>
      </c>
      <c r="B48" s="2" t="s">
        <v>304</v>
      </c>
      <c r="C48" s="2" t="s">
        <v>355</v>
      </c>
      <c r="D48" s="2" t="s">
        <v>356</v>
      </c>
      <c r="E48" s="2" t="s">
        <v>357</v>
      </c>
      <c r="F48" s="2" t="s">
        <v>358</v>
      </c>
      <c r="G48" s="2" t="s">
        <v>117</v>
      </c>
      <c r="H48" s="2" t="s">
        <v>359</v>
      </c>
      <c r="I48" s="2" t="s">
        <v>360</v>
      </c>
      <c r="J48" s="2" t="s">
        <v>361</v>
      </c>
      <c r="K48" s="2" t="str">
        <f>VLOOKUP(InitialBacklog[[#This Row],[Idea ID]],'[1]Idea Details (mapped)'!E:F,2,0)</f>
        <v>E</v>
      </c>
    </row>
    <row r="49" spans="1:11" ht="72.5" x14ac:dyDescent="0.35">
      <c r="A49" s="2" t="s">
        <v>362</v>
      </c>
      <c r="B49" s="2" t="s">
        <v>363</v>
      </c>
      <c r="C49" s="2" t="s">
        <v>364</v>
      </c>
      <c r="D49" s="2" t="s">
        <v>365</v>
      </c>
      <c r="E49" s="2" t="s">
        <v>366</v>
      </c>
      <c r="F49" s="2" t="s">
        <v>367</v>
      </c>
      <c r="G49" s="2" t="s">
        <v>117</v>
      </c>
      <c r="H49" s="2" t="s">
        <v>368</v>
      </c>
      <c r="I49" s="2" t="s">
        <v>369</v>
      </c>
      <c r="J49" s="2" t="s">
        <v>370</v>
      </c>
      <c r="K49" s="2" t="str">
        <f>VLOOKUP(InitialBacklog[[#This Row],[Idea ID]],'[1]Idea Details (mapped)'!E:F,2,0)</f>
        <v>F</v>
      </c>
    </row>
    <row r="50" spans="1:11" ht="58" x14ac:dyDescent="0.35">
      <c r="A50" s="2" t="s">
        <v>371</v>
      </c>
      <c r="B50" s="2" t="s">
        <v>363</v>
      </c>
      <c r="C50" s="2" t="s">
        <v>327</v>
      </c>
      <c r="D50" s="2" t="s">
        <v>372</v>
      </c>
      <c r="E50" s="2" t="s">
        <v>373</v>
      </c>
      <c r="F50" s="2" t="s">
        <v>25</v>
      </c>
      <c r="G50" s="2" t="s">
        <v>17</v>
      </c>
      <c r="H50" s="2" t="s">
        <v>374</v>
      </c>
      <c r="I50" s="2" t="s">
        <v>375</v>
      </c>
      <c r="J50" s="2" t="s">
        <v>376</v>
      </c>
      <c r="K50" s="2" t="str">
        <f>VLOOKUP(InitialBacklog[[#This Row],[Idea ID]],'[1]Idea Details (mapped)'!E:F,2,0)</f>
        <v>F</v>
      </c>
    </row>
    <row r="51" spans="1:11" ht="58" x14ac:dyDescent="0.35">
      <c r="A51" s="2" t="s">
        <v>377</v>
      </c>
      <c r="B51" s="2" t="s">
        <v>363</v>
      </c>
      <c r="C51" s="2" t="s">
        <v>378</v>
      </c>
      <c r="D51" s="2" t="s">
        <v>379</v>
      </c>
      <c r="E51" s="2" t="s">
        <v>380</v>
      </c>
      <c r="F51" s="2" t="s">
        <v>155</v>
      </c>
      <c r="G51" s="2" t="s">
        <v>42</v>
      </c>
      <c r="H51" s="2" t="s">
        <v>381</v>
      </c>
      <c r="I51" s="2" t="s">
        <v>382</v>
      </c>
      <c r="J51" s="2" t="s">
        <v>383</v>
      </c>
      <c r="K51" s="2" t="str">
        <f>VLOOKUP(InitialBacklog[[#This Row],[Idea ID]],'[1]Idea Details (mapped)'!E:F,2,0)</f>
        <v>F</v>
      </c>
    </row>
    <row r="52" spans="1:11" ht="72.5" x14ac:dyDescent="0.35">
      <c r="A52" s="2" t="s">
        <v>384</v>
      </c>
      <c r="B52" s="2" t="s">
        <v>363</v>
      </c>
      <c r="C52" s="2" t="s">
        <v>122</v>
      </c>
      <c r="D52" s="2" t="s">
        <v>385</v>
      </c>
      <c r="E52" s="2" t="s">
        <v>386</v>
      </c>
      <c r="F52" s="2" t="s">
        <v>387</v>
      </c>
      <c r="G52" s="2" t="s">
        <v>17</v>
      </c>
      <c r="H52" s="2" t="s">
        <v>388</v>
      </c>
      <c r="I52" s="2" t="s">
        <v>389</v>
      </c>
      <c r="J52" s="2" t="s">
        <v>390</v>
      </c>
      <c r="K52" s="2" t="str">
        <f>VLOOKUP(InitialBacklog[[#This Row],[Idea ID]],'[1]Idea Details (mapped)'!E:F,2,0)</f>
        <v>F</v>
      </c>
    </row>
    <row r="53" spans="1:11" ht="72.5" x14ac:dyDescent="0.35">
      <c r="A53" s="2" t="s">
        <v>391</v>
      </c>
      <c r="B53" s="2" t="s">
        <v>363</v>
      </c>
      <c r="C53" s="2" t="s">
        <v>378</v>
      </c>
      <c r="D53" s="2" t="s">
        <v>392</v>
      </c>
      <c r="E53" s="2" t="s">
        <v>393</v>
      </c>
      <c r="F53" s="2" t="s">
        <v>394</v>
      </c>
      <c r="G53" s="2" t="s">
        <v>117</v>
      </c>
      <c r="H53" s="2" t="s">
        <v>395</v>
      </c>
      <c r="I53" s="2" t="s">
        <v>396</v>
      </c>
      <c r="J53" s="2" t="s">
        <v>397</v>
      </c>
      <c r="K53" s="2" t="str">
        <f>VLOOKUP(InitialBacklog[[#This Row],[Idea ID]],'[1]Idea Details (mapped)'!E:F,2,0)</f>
        <v>F</v>
      </c>
    </row>
    <row r="54" spans="1:11" ht="58" x14ac:dyDescent="0.35">
      <c r="A54" s="2" t="s">
        <v>398</v>
      </c>
      <c r="B54" s="2" t="s">
        <v>363</v>
      </c>
      <c r="C54" s="2" t="s">
        <v>327</v>
      </c>
      <c r="D54" s="2" t="s">
        <v>399</v>
      </c>
      <c r="E54" s="2" t="s">
        <v>400</v>
      </c>
      <c r="F54" s="2" t="s">
        <v>33</v>
      </c>
      <c r="G54" s="2" t="s">
        <v>17</v>
      </c>
      <c r="H54" s="2" t="s">
        <v>401</v>
      </c>
      <c r="I54" s="2" t="s">
        <v>402</v>
      </c>
      <c r="J54" s="2" t="s">
        <v>403</v>
      </c>
      <c r="K54" s="2" t="e">
        <f>VLOOKUP(InitialBacklog[[#This Row],[Idea ID]],'[1]Idea Details (mapped)'!E:F,2,0)</f>
        <v>#N/A</v>
      </c>
    </row>
    <row r="55" spans="1:11" ht="72.5" x14ac:dyDescent="0.35">
      <c r="A55" s="2" t="s">
        <v>404</v>
      </c>
      <c r="B55" s="2" t="s">
        <v>363</v>
      </c>
      <c r="C55" s="2" t="s">
        <v>405</v>
      </c>
      <c r="D55" s="2" t="s">
        <v>406</v>
      </c>
      <c r="E55" s="2" t="s">
        <v>407</v>
      </c>
      <c r="F55" s="2" t="s">
        <v>408</v>
      </c>
      <c r="G55" s="2" t="s">
        <v>17</v>
      </c>
      <c r="H55" s="2" t="s">
        <v>409</v>
      </c>
      <c r="I55" s="2" t="s">
        <v>410</v>
      </c>
      <c r="J55" s="2" t="s">
        <v>411</v>
      </c>
      <c r="K55" s="2" t="str">
        <f>VLOOKUP(InitialBacklog[[#This Row],[Idea ID]],'[1]Idea Details (mapped)'!E:F,2,0)</f>
        <v>F</v>
      </c>
    </row>
    <row r="56" spans="1:11" ht="58" x14ac:dyDescent="0.35">
      <c r="A56" s="2" t="s">
        <v>412</v>
      </c>
      <c r="B56" s="2" t="s">
        <v>363</v>
      </c>
      <c r="C56" s="2" t="s">
        <v>413</v>
      </c>
      <c r="D56" s="2" t="s">
        <v>414</v>
      </c>
      <c r="E56" s="2" t="s">
        <v>415</v>
      </c>
      <c r="F56" s="2" t="s">
        <v>416</v>
      </c>
      <c r="G56" s="2" t="s">
        <v>42</v>
      </c>
      <c r="H56" s="2" t="s">
        <v>417</v>
      </c>
      <c r="I56" s="2" t="s">
        <v>418</v>
      </c>
      <c r="J56" s="2" t="s">
        <v>419</v>
      </c>
      <c r="K56" s="2" t="str">
        <f>VLOOKUP(InitialBacklog[[#This Row],[Idea ID]],'[1]Idea Details (mapped)'!E:F,2,0)</f>
        <v>F</v>
      </c>
    </row>
    <row r="57" spans="1:11" ht="72.5" x14ac:dyDescent="0.35">
      <c r="A57" s="2" t="s">
        <v>420</v>
      </c>
      <c r="B57" s="2" t="s">
        <v>421</v>
      </c>
      <c r="C57" s="2" t="s">
        <v>319</v>
      </c>
      <c r="D57" s="2" t="s">
        <v>422</v>
      </c>
      <c r="E57" s="2" t="s">
        <v>423</v>
      </c>
      <c r="F57" s="2" t="s">
        <v>25</v>
      </c>
      <c r="G57" s="2" t="s">
        <v>117</v>
      </c>
      <c r="H57" s="2" t="s">
        <v>424</v>
      </c>
      <c r="I57" s="2" t="s">
        <v>324</v>
      </c>
      <c r="J57" s="2" t="s">
        <v>425</v>
      </c>
      <c r="K57" s="2" t="e">
        <f>VLOOKUP(InitialBacklog[[#This Row],[Idea ID]],'[1]Idea Details (mapped)'!E:F,2,0)</f>
        <v>#N/A</v>
      </c>
    </row>
    <row r="58" spans="1:11" ht="72.5" x14ac:dyDescent="0.35">
      <c r="A58" s="2" t="s">
        <v>426</v>
      </c>
      <c r="B58" s="2" t="s">
        <v>421</v>
      </c>
      <c r="C58" s="2" t="s">
        <v>427</v>
      </c>
      <c r="D58" s="2" t="s">
        <v>428</v>
      </c>
      <c r="E58" s="2" t="s">
        <v>429</v>
      </c>
      <c r="F58" s="2" t="s">
        <v>430</v>
      </c>
      <c r="G58" s="2" t="s">
        <v>117</v>
      </c>
      <c r="H58" s="2" t="s">
        <v>431</v>
      </c>
      <c r="I58" s="2" t="s">
        <v>432</v>
      </c>
      <c r="J58" s="2" t="s">
        <v>433</v>
      </c>
      <c r="K58" s="2" t="str">
        <f>VLOOKUP(InitialBacklog[[#This Row],[Idea ID]],'[1]Idea Details (mapped)'!E:F,2,0)</f>
        <v>G</v>
      </c>
    </row>
    <row r="59" spans="1:11" ht="58" x14ac:dyDescent="0.35">
      <c r="A59" s="2" t="s">
        <v>434</v>
      </c>
      <c r="B59" s="2" t="s">
        <v>421</v>
      </c>
      <c r="C59" s="2" t="s">
        <v>106</v>
      </c>
      <c r="D59" s="2" t="s">
        <v>435</v>
      </c>
      <c r="E59" s="2" t="s">
        <v>436</v>
      </c>
      <c r="F59" s="2" t="s">
        <v>155</v>
      </c>
      <c r="G59" s="2" t="s">
        <v>17</v>
      </c>
      <c r="H59" s="2" t="s">
        <v>437</v>
      </c>
      <c r="I59" s="2" t="s">
        <v>438</v>
      </c>
      <c r="J59" s="2" t="s">
        <v>439</v>
      </c>
      <c r="K59" s="2" t="str">
        <f>VLOOKUP(InitialBacklog[[#This Row],[Idea ID]],'[1]Idea Details (mapped)'!E:F,2,0)</f>
        <v>G</v>
      </c>
    </row>
    <row r="60" spans="1:11" ht="58" x14ac:dyDescent="0.35">
      <c r="A60" s="2" t="s">
        <v>440</v>
      </c>
      <c r="B60" s="2" t="s">
        <v>421</v>
      </c>
      <c r="C60" s="2" t="s">
        <v>441</v>
      </c>
      <c r="D60" s="2" t="s">
        <v>442</v>
      </c>
      <c r="E60" s="2" t="s">
        <v>443</v>
      </c>
      <c r="F60" s="2" t="s">
        <v>444</v>
      </c>
      <c r="G60" s="2" t="s">
        <v>17</v>
      </c>
      <c r="H60" s="2" t="s">
        <v>445</v>
      </c>
      <c r="I60" s="2" t="s">
        <v>446</v>
      </c>
      <c r="J60" s="2" t="s">
        <v>447</v>
      </c>
      <c r="K60" s="2" t="str">
        <f>VLOOKUP(InitialBacklog[[#This Row],[Idea ID]],'[1]Idea Details (mapped)'!E:F,2,0)</f>
        <v>G</v>
      </c>
    </row>
    <row r="61" spans="1:11" ht="58" x14ac:dyDescent="0.35">
      <c r="A61" s="2" t="s">
        <v>448</v>
      </c>
      <c r="B61" s="2" t="s">
        <v>421</v>
      </c>
      <c r="C61" s="2" t="s">
        <v>449</v>
      </c>
      <c r="D61" s="2" t="s">
        <v>450</v>
      </c>
      <c r="E61" s="2" t="s">
        <v>451</v>
      </c>
      <c r="F61" s="2" t="s">
        <v>155</v>
      </c>
      <c r="G61" s="2" t="s">
        <v>42</v>
      </c>
      <c r="H61" s="2" t="s">
        <v>452</v>
      </c>
      <c r="I61" s="2" t="s">
        <v>221</v>
      </c>
      <c r="J61" s="2" t="s">
        <v>453</v>
      </c>
      <c r="K61" s="2" t="str">
        <f>VLOOKUP(InitialBacklog[[#This Row],[Idea ID]],'[1]Idea Details (mapped)'!E:F,2,0)</f>
        <v>G</v>
      </c>
    </row>
    <row r="62" spans="1:11" ht="72.5" x14ac:dyDescent="0.35">
      <c r="A62" s="2" t="s">
        <v>454</v>
      </c>
      <c r="B62" s="2" t="s">
        <v>421</v>
      </c>
      <c r="C62" s="2" t="s">
        <v>455</v>
      </c>
      <c r="D62" s="2" t="s">
        <v>456</v>
      </c>
      <c r="E62" s="2" t="s">
        <v>457</v>
      </c>
      <c r="F62" s="2" t="s">
        <v>458</v>
      </c>
      <c r="G62" s="2" t="s">
        <v>42</v>
      </c>
      <c r="H62" s="2" t="s">
        <v>459</v>
      </c>
      <c r="I62" s="2" t="s">
        <v>460</v>
      </c>
      <c r="J62" s="2" t="s">
        <v>461</v>
      </c>
      <c r="K62" s="2" t="str">
        <f>VLOOKUP(InitialBacklog[[#This Row],[Idea ID]],'[1]Idea Details (mapped)'!E:F,2,0)</f>
        <v>G</v>
      </c>
    </row>
    <row r="63" spans="1:11" ht="58" x14ac:dyDescent="0.35">
      <c r="A63" s="2" t="s">
        <v>462</v>
      </c>
      <c r="B63" s="2" t="s">
        <v>421</v>
      </c>
      <c r="C63" s="2" t="s">
        <v>179</v>
      </c>
      <c r="D63" s="2" t="s">
        <v>463</v>
      </c>
      <c r="E63" s="2" t="s">
        <v>464</v>
      </c>
      <c r="F63" s="2" t="s">
        <v>465</v>
      </c>
      <c r="G63" s="2" t="s">
        <v>17</v>
      </c>
      <c r="H63" s="2" t="s">
        <v>466</v>
      </c>
      <c r="I63" s="2" t="s">
        <v>467</v>
      </c>
      <c r="J63" s="2" t="s">
        <v>468</v>
      </c>
      <c r="K63" s="2" t="e">
        <f>VLOOKUP(InitialBacklog[[#This Row],[Idea ID]],'[1]Idea Details (mapped)'!E:F,2,0)</f>
        <v>#N/A</v>
      </c>
    </row>
    <row r="64" spans="1:11" ht="72.5" x14ac:dyDescent="0.35">
      <c r="A64" s="2" t="s">
        <v>469</v>
      </c>
      <c r="B64" s="2" t="s">
        <v>470</v>
      </c>
      <c r="C64" s="2" t="s">
        <v>471</v>
      </c>
      <c r="D64" s="2" t="s">
        <v>472</v>
      </c>
      <c r="E64" s="2" t="s">
        <v>473</v>
      </c>
      <c r="F64" s="2" t="s">
        <v>474</v>
      </c>
      <c r="G64" s="2" t="s">
        <v>117</v>
      </c>
      <c r="H64" s="2" t="s">
        <v>475</v>
      </c>
      <c r="I64" s="2" t="s">
        <v>332</v>
      </c>
      <c r="J64" s="2" t="s">
        <v>476</v>
      </c>
      <c r="K64" s="2" t="e">
        <f>VLOOKUP(InitialBacklog[[#This Row],[Idea ID]],'[1]Idea Details (mapped)'!E:F,2,0)</f>
        <v>#N/A</v>
      </c>
    </row>
    <row r="65" spans="1:11" ht="58" x14ac:dyDescent="0.35">
      <c r="A65" s="2" t="s">
        <v>477</v>
      </c>
      <c r="B65" s="2" t="s">
        <v>470</v>
      </c>
      <c r="C65" s="2" t="s">
        <v>478</v>
      </c>
      <c r="D65" s="2" t="s">
        <v>479</v>
      </c>
      <c r="E65" s="2" t="s">
        <v>480</v>
      </c>
      <c r="F65" s="2" t="s">
        <v>25</v>
      </c>
      <c r="G65" s="2" t="s">
        <v>17</v>
      </c>
      <c r="H65" s="2" t="s">
        <v>481</v>
      </c>
      <c r="I65" s="2" t="s">
        <v>482</v>
      </c>
      <c r="J65" s="2" t="s">
        <v>483</v>
      </c>
      <c r="K65" s="2" t="e">
        <f>VLOOKUP(InitialBacklog[[#This Row],[Idea ID]],'[1]Idea Details (mapped)'!E:F,2,0)</f>
        <v>#N/A</v>
      </c>
    </row>
    <row r="66" spans="1:11" ht="58" x14ac:dyDescent="0.35">
      <c r="A66" s="2" t="s">
        <v>484</v>
      </c>
      <c r="B66" s="2" t="s">
        <v>470</v>
      </c>
      <c r="C66" s="2" t="s">
        <v>341</v>
      </c>
      <c r="D66" s="2" t="s">
        <v>485</v>
      </c>
      <c r="E66" s="2" t="s">
        <v>486</v>
      </c>
      <c r="F66" s="2" t="s">
        <v>344</v>
      </c>
      <c r="G66" s="2" t="s">
        <v>17</v>
      </c>
      <c r="H66" s="2" t="s">
        <v>487</v>
      </c>
      <c r="I66" s="2" t="s">
        <v>221</v>
      </c>
      <c r="J66" s="2" t="s">
        <v>488</v>
      </c>
      <c r="K66" s="2" t="e">
        <f>VLOOKUP(InitialBacklog[[#This Row],[Idea ID]],'[1]Idea Details (mapped)'!E:F,2,0)</f>
        <v>#N/A</v>
      </c>
    </row>
    <row r="67" spans="1:11" ht="58" x14ac:dyDescent="0.35">
      <c r="A67" s="2" t="s">
        <v>489</v>
      </c>
      <c r="B67" s="2" t="s">
        <v>470</v>
      </c>
      <c r="C67" s="2" t="s">
        <v>122</v>
      </c>
      <c r="D67" s="2" t="s">
        <v>490</v>
      </c>
      <c r="E67" s="2" t="s">
        <v>491</v>
      </c>
      <c r="F67" s="2" t="s">
        <v>492</v>
      </c>
      <c r="G67" s="2" t="s">
        <v>42</v>
      </c>
      <c r="H67" s="2" t="s">
        <v>493</v>
      </c>
      <c r="I67" s="2" t="s">
        <v>494</v>
      </c>
      <c r="J67" s="2" t="s">
        <v>495</v>
      </c>
      <c r="K67" s="2" t="str">
        <f>VLOOKUP(InitialBacklog[[#This Row],[Idea ID]],'[1]Idea Details (mapped)'!E:F,2,0)</f>
        <v>H</v>
      </c>
    </row>
    <row r="68" spans="1:11" ht="72.5" x14ac:dyDescent="0.35">
      <c r="A68" s="2" t="s">
        <v>496</v>
      </c>
      <c r="B68" s="2" t="s">
        <v>470</v>
      </c>
      <c r="C68" s="2" t="s">
        <v>497</v>
      </c>
      <c r="D68" s="2" t="s">
        <v>498</v>
      </c>
      <c r="E68" s="2" t="s">
        <v>499</v>
      </c>
      <c r="F68" s="2" t="s">
        <v>358</v>
      </c>
      <c r="G68" s="2" t="s">
        <v>17</v>
      </c>
      <c r="H68" s="2" t="s">
        <v>500</v>
      </c>
      <c r="I68" s="2" t="s">
        <v>501</v>
      </c>
      <c r="J68" s="2" t="s">
        <v>502</v>
      </c>
      <c r="K68" s="2" t="e">
        <f>VLOOKUP(InitialBacklog[[#This Row],[Idea ID]],'[1]Idea Details (mapped)'!E:F,2,0)</f>
        <v>#N/A</v>
      </c>
    </row>
    <row r="69" spans="1:11" ht="72.5" x14ac:dyDescent="0.35">
      <c r="A69" s="2" t="s">
        <v>503</v>
      </c>
      <c r="B69" s="2" t="s">
        <v>470</v>
      </c>
      <c r="C69" s="2" t="s">
        <v>504</v>
      </c>
      <c r="D69" s="2" t="s">
        <v>505</v>
      </c>
      <c r="E69" s="2" t="s">
        <v>506</v>
      </c>
      <c r="F69" s="2" t="s">
        <v>507</v>
      </c>
      <c r="G69" s="2" t="s">
        <v>17</v>
      </c>
      <c r="H69" s="2" t="s">
        <v>508</v>
      </c>
      <c r="I69" s="2" t="s">
        <v>509</v>
      </c>
      <c r="J69" s="2" t="s">
        <v>510</v>
      </c>
      <c r="K69" s="2" t="str">
        <f>VLOOKUP(InitialBacklog[[#This Row],[Idea ID]],'[1]Idea Details (mapped)'!E:F,2,0)</f>
        <v>H</v>
      </c>
    </row>
    <row r="70" spans="1:11" ht="72.5" x14ac:dyDescent="0.35">
      <c r="A70" s="2" t="s">
        <v>511</v>
      </c>
      <c r="B70" s="2" t="s">
        <v>470</v>
      </c>
      <c r="C70" s="2" t="s">
        <v>327</v>
      </c>
      <c r="D70" s="2" t="s">
        <v>512</v>
      </c>
      <c r="E70" s="2" t="s">
        <v>513</v>
      </c>
      <c r="F70" s="2" t="s">
        <v>514</v>
      </c>
      <c r="G70" s="2" t="s">
        <v>117</v>
      </c>
      <c r="H70" s="2" t="s">
        <v>515</v>
      </c>
      <c r="I70" s="2" t="s">
        <v>516</v>
      </c>
      <c r="J70" s="2" t="s">
        <v>517</v>
      </c>
      <c r="K70" s="2" t="str">
        <f>VLOOKUP(InitialBacklog[[#This Row],[Idea ID]],'[1]Idea Details (mapped)'!E:F,2,0)</f>
        <v>H</v>
      </c>
    </row>
    <row r="71" spans="1:11" ht="72.5" x14ac:dyDescent="0.35">
      <c r="A71" s="2" t="s">
        <v>518</v>
      </c>
      <c r="B71" s="2" t="s">
        <v>470</v>
      </c>
      <c r="C71" s="2" t="s">
        <v>106</v>
      </c>
      <c r="D71" s="2" t="s">
        <v>519</v>
      </c>
      <c r="E71" s="2" t="s">
        <v>520</v>
      </c>
      <c r="F71" s="2" t="s">
        <v>203</v>
      </c>
      <c r="G71" s="2" t="s">
        <v>42</v>
      </c>
      <c r="H71" s="2" t="s">
        <v>521</v>
      </c>
      <c r="I71" s="2" t="s">
        <v>522</v>
      </c>
      <c r="J71" s="2" t="s">
        <v>523</v>
      </c>
      <c r="K71" s="2" t="str">
        <f>VLOOKUP(InitialBacklog[[#This Row],[Idea ID]],'[1]Idea Details (mapped)'!E:F,2,0)</f>
        <v>H</v>
      </c>
    </row>
    <row r="72" spans="1:11" ht="72.5" x14ac:dyDescent="0.35">
      <c r="A72" s="2" t="s">
        <v>524</v>
      </c>
      <c r="B72" s="2" t="s">
        <v>470</v>
      </c>
      <c r="C72" s="2" t="s">
        <v>525</v>
      </c>
      <c r="D72" s="2" t="s">
        <v>526</v>
      </c>
      <c r="E72" s="2" t="s">
        <v>527</v>
      </c>
      <c r="F72" s="2" t="s">
        <v>528</v>
      </c>
      <c r="G72" s="2" t="s">
        <v>42</v>
      </c>
      <c r="H72" s="2" t="s">
        <v>529</v>
      </c>
      <c r="I72" s="2" t="s">
        <v>530</v>
      </c>
      <c r="J72" s="2" t="s">
        <v>531</v>
      </c>
      <c r="K72" s="2" t="str">
        <f>VLOOKUP(InitialBacklog[[#This Row],[Idea ID]],'[1]Idea Details (mapped)'!E:F,2,0)</f>
        <v>H</v>
      </c>
    </row>
    <row r="73" spans="1:11" ht="58" x14ac:dyDescent="0.35">
      <c r="A73" s="2" t="s">
        <v>532</v>
      </c>
      <c r="B73" s="2" t="s">
        <v>533</v>
      </c>
      <c r="C73" s="2" t="s">
        <v>534</v>
      </c>
      <c r="D73" s="2" t="s">
        <v>535</v>
      </c>
      <c r="E73" s="2" t="s">
        <v>536</v>
      </c>
      <c r="F73" s="2" t="s">
        <v>50</v>
      </c>
      <c r="G73" s="2" t="s">
        <v>42</v>
      </c>
      <c r="H73" s="2" t="s">
        <v>537</v>
      </c>
      <c r="I73" s="2" t="s">
        <v>538</v>
      </c>
      <c r="J73" s="2" t="s">
        <v>539</v>
      </c>
      <c r="K73" s="2" t="str">
        <f>VLOOKUP(InitialBacklog[[#This Row],[Idea ID]],'[1]Idea Details (mapped)'!E:F,2,0)</f>
        <v>I</v>
      </c>
    </row>
    <row r="74" spans="1:11" ht="58" x14ac:dyDescent="0.35">
      <c r="A74" s="2" t="s">
        <v>540</v>
      </c>
      <c r="B74" s="2" t="s">
        <v>533</v>
      </c>
      <c r="C74" s="2" t="s">
        <v>541</v>
      </c>
      <c r="D74" s="2" t="s">
        <v>542</v>
      </c>
      <c r="E74" s="2" t="s">
        <v>543</v>
      </c>
      <c r="F74" s="2" t="s">
        <v>25</v>
      </c>
      <c r="G74" s="2" t="s">
        <v>17</v>
      </c>
      <c r="H74" s="2" t="s">
        <v>544</v>
      </c>
      <c r="I74" s="2" t="s">
        <v>545</v>
      </c>
      <c r="J74" s="2" t="s">
        <v>546</v>
      </c>
      <c r="K74" s="2" t="e">
        <f>VLOOKUP(InitialBacklog[[#This Row],[Idea ID]],'[1]Idea Details (mapped)'!E:F,2,0)</f>
        <v>#N/A</v>
      </c>
    </row>
    <row r="75" spans="1:11" ht="58" x14ac:dyDescent="0.35">
      <c r="A75" s="2" t="s">
        <v>547</v>
      </c>
      <c r="B75" s="2" t="s">
        <v>533</v>
      </c>
      <c r="C75" s="2" t="s">
        <v>548</v>
      </c>
      <c r="D75" s="2" t="s">
        <v>549</v>
      </c>
      <c r="E75" s="2" t="s">
        <v>550</v>
      </c>
      <c r="F75" s="2" t="s">
        <v>33</v>
      </c>
      <c r="G75" s="2" t="s">
        <v>17</v>
      </c>
      <c r="H75" s="2" t="s">
        <v>551</v>
      </c>
      <c r="I75" s="2" t="s">
        <v>552</v>
      </c>
      <c r="J75" s="2" t="s">
        <v>553</v>
      </c>
      <c r="K75" s="2" t="str">
        <f>VLOOKUP(InitialBacklog[[#This Row],[Idea ID]],'[1]Idea Details (mapped)'!E:F,2,0)</f>
        <v>I</v>
      </c>
    </row>
    <row r="76" spans="1:11" ht="58" x14ac:dyDescent="0.35">
      <c r="A76" s="2" t="s">
        <v>554</v>
      </c>
      <c r="B76" s="2" t="s">
        <v>533</v>
      </c>
      <c r="C76" s="2" t="s">
        <v>555</v>
      </c>
      <c r="D76" s="2" t="s">
        <v>556</v>
      </c>
      <c r="E76" s="2" t="s">
        <v>557</v>
      </c>
      <c r="F76" s="2" t="s">
        <v>25</v>
      </c>
      <c r="G76" s="2" t="s">
        <v>17</v>
      </c>
      <c r="H76" s="2" t="s">
        <v>558</v>
      </c>
      <c r="I76" s="2" t="s">
        <v>559</v>
      </c>
      <c r="J76" s="2" t="s">
        <v>560</v>
      </c>
      <c r="K76" s="2" t="e">
        <f>VLOOKUP(InitialBacklog[[#This Row],[Idea ID]],'[1]Idea Details (mapped)'!E:F,2,0)</f>
        <v>#N/A</v>
      </c>
    </row>
    <row r="77" spans="1:11" ht="58" x14ac:dyDescent="0.35">
      <c r="A77" s="2" t="s">
        <v>561</v>
      </c>
      <c r="B77" s="2" t="s">
        <v>533</v>
      </c>
      <c r="C77" s="2" t="s">
        <v>562</v>
      </c>
      <c r="D77" s="2" t="s">
        <v>563</v>
      </c>
      <c r="E77" s="2" t="s">
        <v>564</v>
      </c>
      <c r="F77" s="2" t="s">
        <v>565</v>
      </c>
      <c r="G77" s="2" t="s">
        <v>42</v>
      </c>
      <c r="H77" s="2" t="s">
        <v>566</v>
      </c>
      <c r="I77" s="2" t="s">
        <v>567</v>
      </c>
      <c r="J77" s="2" t="s">
        <v>568</v>
      </c>
      <c r="K77" s="2" t="str">
        <f>VLOOKUP(InitialBacklog[[#This Row],[Idea ID]],'[1]Idea Details (mapped)'!E:F,2,0)</f>
        <v>I</v>
      </c>
    </row>
    <row r="78" spans="1:11" ht="58" x14ac:dyDescent="0.35">
      <c r="A78" s="2" t="s">
        <v>569</v>
      </c>
      <c r="B78" s="2" t="s">
        <v>533</v>
      </c>
      <c r="C78" s="2" t="s">
        <v>570</v>
      </c>
      <c r="D78" s="2" t="s">
        <v>571</v>
      </c>
      <c r="E78" s="2" t="s">
        <v>572</v>
      </c>
      <c r="F78" s="2" t="s">
        <v>155</v>
      </c>
      <c r="G78" s="2" t="s">
        <v>42</v>
      </c>
      <c r="H78" s="2" t="s">
        <v>573</v>
      </c>
      <c r="I78" s="2" t="s">
        <v>574</v>
      </c>
      <c r="J78" s="2" t="s">
        <v>575</v>
      </c>
      <c r="K78" s="2" t="str">
        <f>VLOOKUP(InitialBacklog[[#This Row],[Idea ID]],'[1]Idea Details (mapped)'!E:F,2,0)</f>
        <v>I</v>
      </c>
    </row>
    <row r="79" spans="1:11" ht="72.5" x14ac:dyDescent="0.35">
      <c r="A79" s="2" t="s">
        <v>576</v>
      </c>
      <c r="B79" s="2" t="s">
        <v>533</v>
      </c>
      <c r="C79" s="2" t="s">
        <v>577</v>
      </c>
      <c r="D79" s="2" t="s">
        <v>578</v>
      </c>
      <c r="E79" s="2" t="s">
        <v>579</v>
      </c>
      <c r="F79" s="2" t="s">
        <v>189</v>
      </c>
      <c r="G79" s="2" t="s">
        <v>117</v>
      </c>
      <c r="H79" s="2" t="s">
        <v>580</v>
      </c>
      <c r="I79" s="2" t="s">
        <v>581</v>
      </c>
      <c r="J79" s="2" t="s">
        <v>582</v>
      </c>
      <c r="K79" s="2" t="str">
        <f>VLOOKUP(InitialBacklog[[#This Row],[Idea ID]],'[1]Idea Details (mapped)'!E:F,2,0)</f>
        <v>I</v>
      </c>
    </row>
    <row r="80" spans="1:11" ht="58" x14ac:dyDescent="0.35">
      <c r="A80" s="2" t="s">
        <v>583</v>
      </c>
      <c r="B80" s="2" t="s">
        <v>533</v>
      </c>
      <c r="C80" s="2" t="s">
        <v>584</v>
      </c>
      <c r="D80" s="2" t="s">
        <v>585</v>
      </c>
      <c r="E80" s="2" t="s">
        <v>586</v>
      </c>
      <c r="F80" s="2" t="s">
        <v>587</v>
      </c>
      <c r="G80" s="2" t="s">
        <v>17</v>
      </c>
      <c r="H80" s="2" t="s">
        <v>588</v>
      </c>
      <c r="I80" s="2" t="s">
        <v>589</v>
      </c>
      <c r="J80" s="2" t="s">
        <v>590</v>
      </c>
      <c r="K80" s="2" t="e">
        <f>VLOOKUP(InitialBacklog[[#This Row],[Idea ID]],'[1]Idea Details (mapped)'!E:F,2,0)</f>
        <v>#N/A</v>
      </c>
    </row>
    <row r="81" spans="1:11" ht="72.5" x14ac:dyDescent="0.35">
      <c r="A81" s="2" t="s">
        <v>591</v>
      </c>
      <c r="B81" s="2" t="s">
        <v>533</v>
      </c>
      <c r="C81" s="2" t="s">
        <v>106</v>
      </c>
      <c r="D81" s="2" t="s">
        <v>592</v>
      </c>
      <c r="E81" s="2" t="s">
        <v>593</v>
      </c>
      <c r="F81" s="2" t="s">
        <v>203</v>
      </c>
      <c r="G81" s="2" t="s">
        <v>42</v>
      </c>
      <c r="H81" s="2" t="s">
        <v>594</v>
      </c>
      <c r="I81" s="2" t="s">
        <v>595</v>
      </c>
      <c r="J81" s="2" t="s">
        <v>596</v>
      </c>
      <c r="K81" s="2" t="e">
        <f>VLOOKUP(InitialBacklog[[#This Row],[Idea ID]],'[1]Idea Details (mapped)'!E:F,2,0)</f>
        <v>#N/A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Backlog (80)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2026-02-22T10:05:04Z</dcterms:created>
  <dcterms:modified xsi:type="dcterms:W3CDTF">2026-02-22T10:06:30Z</dcterms:modified>
</cp:coreProperties>
</file>